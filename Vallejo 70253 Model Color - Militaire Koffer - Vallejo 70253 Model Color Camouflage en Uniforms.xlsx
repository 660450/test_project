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codeName="ThisWorkbook" defaultThemeVersion="202300"/>
  <mc:AlternateContent xmlns:mc="http://schemas.openxmlformats.org/markup-compatibility/2006">
    <mc:Choice Requires="x15">
      <x15ac:absPath xmlns:x15ac="http://schemas.microsoft.com/office/spreadsheetml/2010/11/ac" url="/Users/franky/repo/test_project/"/>
    </mc:Choice>
  </mc:AlternateContent>
  <xr:revisionPtr revIDLastSave="0" documentId="8_{B3BEC4F9-F116-A44A-B09D-7620296077AB}" xr6:coauthVersionLast="47" xr6:coauthVersionMax="47" xr10:uidLastSave="{00000000-0000-0000-0000-000000000000}"/>
  <bookViews>
    <workbookView xWindow="0" yWindow="680" windowWidth="34200" windowHeight="21460" activeTab="6" xr2:uid="{A09E754F-C505-BD41-B497-2508E65B5337}"/>
  </bookViews>
  <sheets>
    <sheet name="check per set" sheetId="5" r:id="rId1"/>
    <sheet name="check van alles" sheetId="4" r:id="rId2"/>
    <sheet name="dump" sheetId="10" r:id="rId3"/>
    <sheet name="alles zonder delete" sheetId="1" r:id="rId4"/>
    <sheet name="testen" sheetId="3" r:id="rId5"/>
    <sheet name="vallejo_model_color_latest" sheetId="13" r:id="rId6"/>
    <sheet name="Blad3" sheetId="12" r:id="rId7"/>
  </sheets>
  <definedNames>
    <definedName name="_xlnm._FilterDatabase" localSheetId="3" hidden="1">'alles zonder delete'!$A$1:$C$78</definedName>
    <definedName name="_xlnm._FilterDatabase" localSheetId="0" hidden="1">'check per set'!$A$1:$C$78</definedName>
    <definedName name="_xlnm._FilterDatabase" localSheetId="1" hidden="1">'check van alles'!$A$1:$C$141</definedName>
    <definedName name="_xlnm._FilterDatabase" localSheetId="4" hidden="1">testen!$A$1:$C$78</definedName>
    <definedName name="ExternalData_1" localSheetId="5" hidden="1">vallejo_model_color_latest!$A$1:$B$101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0" i="1" l="1"/>
  <c r="A138" i="4"/>
  <c r="A140" i="4"/>
  <c r="B141" i="4"/>
  <c r="B143" i="4"/>
  <c r="B142" i="4"/>
  <c r="B138" i="4"/>
  <c r="A139" i="4"/>
  <c r="A143" i="4"/>
  <c r="A142" i="4"/>
  <c r="A141" i="4"/>
  <c r="B140" i="4"/>
  <c r="B139" i="4"/>
  <c r="A87" i="3"/>
  <c r="A88" i="3"/>
  <c r="A89" i="3"/>
  <c r="A90" i="3"/>
  <c r="A91" i="3"/>
  <c r="A92" i="3"/>
  <c r="A93" i="3"/>
  <c r="A94" i="3"/>
  <c r="A95" i="3"/>
  <c r="A96" i="3"/>
  <c r="A97" i="3"/>
  <c r="A98" i="3"/>
  <c r="A99" i="3"/>
  <c r="A100" i="3"/>
  <c r="A101" i="3"/>
  <c r="A102" i="3"/>
  <c r="B87" i="3"/>
  <c r="B88" i="3"/>
  <c r="B89" i="3"/>
  <c r="B90" i="3"/>
  <c r="B91" i="3"/>
  <c r="B92" i="3"/>
  <c r="B93" i="3"/>
  <c r="B94" i="3"/>
  <c r="B95" i="3"/>
  <c r="B96" i="3"/>
  <c r="B97" i="3"/>
  <c r="B98" i="3"/>
  <c r="B99" i="3"/>
  <c r="B100" i="3"/>
  <c r="B101" i="3"/>
  <c r="B102" i="3"/>
  <c r="B83" i="4"/>
  <c r="B84" i="4"/>
  <c r="B85" i="4"/>
  <c r="B86" i="4"/>
  <c r="A83" i="4"/>
  <c r="A84" i="4"/>
  <c r="A85" i="4"/>
  <c r="A86" i="4"/>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1" i="1"/>
  <c r="A232" i="1"/>
  <c r="A233" i="1"/>
  <c r="A234" i="1"/>
  <c r="A235" i="1"/>
  <c r="A236" i="1"/>
  <c r="A237" i="1"/>
  <c r="A238" i="1"/>
  <c r="A239" i="1"/>
  <c r="A240" i="1"/>
  <c r="A241" i="1"/>
  <c r="A242" i="1"/>
  <c r="A243"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6" i="1"/>
  <c r="A7" i="1"/>
  <c r="A8" i="1"/>
  <c r="A9" i="1"/>
  <c r="A10" i="1"/>
  <c r="A11" i="1"/>
  <c r="A12" i="1"/>
  <c r="A13" i="1"/>
  <c r="A14" i="1"/>
  <c r="A15" i="1"/>
  <c r="A16" i="1"/>
  <c r="A17" i="1"/>
  <c r="A18" i="1"/>
  <c r="A19" i="1"/>
  <c r="A20" i="1"/>
  <c r="A21" i="1"/>
  <c r="A22" i="1"/>
  <c r="A23" i="1"/>
  <c r="A24" i="1"/>
  <c r="A25" i="1"/>
  <c r="A4" i="1"/>
  <c r="A5"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94" i="1"/>
  <c r="B95" i="1"/>
  <c r="B96" i="1"/>
  <c r="B97" i="1"/>
  <c r="B98" i="1"/>
  <c r="B99" i="1"/>
  <c r="B100" i="1"/>
  <c r="B101" i="1"/>
  <c r="B89" i="1"/>
  <c r="B90" i="1"/>
  <c r="B91" i="1"/>
  <c r="B92" i="1"/>
  <c r="B93" i="1"/>
  <c r="B84" i="1"/>
  <c r="B85" i="1"/>
  <c r="B86" i="1"/>
  <c r="B87" i="1"/>
  <c r="B88" i="1"/>
  <c r="A85" i="3"/>
  <c r="A86" i="3"/>
  <c r="B85" i="3"/>
  <c r="B86" i="3"/>
  <c r="B80" i="3"/>
  <c r="B81" i="3"/>
  <c r="B82" i="3"/>
  <c r="B83" i="3"/>
  <c r="B84" i="3"/>
  <c r="B79" i="1"/>
  <c r="B80" i="1"/>
  <c r="B81" i="1"/>
  <c r="B82" i="1"/>
  <c r="B83" i="1"/>
  <c r="A68" i="3"/>
  <c r="A69" i="3"/>
  <c r="A70" i="3"/>
  <c r="A71" i="3"/>
  <c r="A72" i="3"/>
  <c r="A73" i="3"/>
  <c r="A74" i="3"/>
  <c r="A75" i="3"/>
  <c r="A76" i="3"/>
  <c r="A77" i="3"/>
  <c r="A78" i="3"/>
  <c r="A79" i="3"/>
  <c r="A80" i="3"/>
  <c r="A81" i="3"/>
  <c r="A82" i="3"/>
  <c r="A83" i="3"/>
  <c r="A84" i="3"/>
  <c r="B79" i="3"/>
  <c r="B121" i="5"/>
  <c r="A121" i="5"/>
  <c r="B120" i="5"/>
  <c r="A120" i="5"/>
  <c r="B119" i="5"/>
  <c r="A119" i="5"/>
  <c r="B118" i="5"/>
  <c r="A118" i="5"/>
  <c r="B117" i="5"/>
  <c r="A117" i="5"/>
  <c r="B116" i="5"/>
  <c r="A116" i="5"/>
  <c r="B115" i="5"/>
  <c r="A115" i="5"/>
  <c r="B114" i="5"/>
  <c r="A114" i="5"/>
  <c r="B113" i="5"/>
  <c r="A113" i="5"/>
  <c r="B112" i="5"/>
  <c r="A112" i="5"/>
  <c r="B111" i="5"/>
  <c r="A111" i="5"/>
  <c r="B110" i="5"/>
  <c r="A110" i="5"/>
  <c r="B109" i="5"/>
  <c r="A109" i="5"/>
  <c r="B108" i="5"/>
  <c r="A108" i="5"/>
  <c r="B107" i="5"/>
  <c r="A107" i="5"/>
  <c r="B106" i="5"/>
  <c r="A106" i="5"/>
  <c r="B102" i="5"/>
  <c r="A102" i="5"/>
  <c r="B101" i="5"/>
  <c r="A101" i="5"/>
  <c r="B100" i="5"/>
  <c r="A100" i="5"/>
  <c r="B99" i="5"/>
  <c r="A99" i="5"/>
  <c r="B98" i="5"/>
  <c r="A98" i="5"/>
  <c r="B97" i="5"/>
  <c r="A97" i="5"/>
  <c r="B96" i="5"/>
  <c r="A96" i="5"/>
  <c r="B95" i="5"/>
  <c r="A95" i="5"/>
  <c r="B94" i="5"/>
  <c r="A94" i="5"/>
  <c r="B93" i="5"/>
  <c r="A93" i="5"/>
  <c r="B92" i="5"/>
  <c r="A92" i="5"/>
  <c r="B91" i="5"/>
  <c r="A91" i="5"/>
  <c r="B90" i="5"/>
  <c r="A90" i="5"/>
  <c r="B89" i="5"/>
  <c r="A89" i="5"/>
  <c r="B88" i="5"/>
  <c r="A88" i="5"/>
  <c r="B87" i="5"/>
  <c r="A87" i="5"/>
  <c r="B86" i="5"/>
  <c r="A86" i="5"/>
  <c r="B85" i="5"/>
  <c r="A85" i="5"/>
  <c r="B84" i="5"/>
  <c r="A84" i="5"/>
  <c r="B83" i="5"/>
  <c r="A83" i="5"/>
  <c r="B82" i="5"/>
  <c r="A82" i="5"/>
  <c r="B81" i="5"/>
  <c r="A81" i="5"/>
  <c r="B80" i="5"/>
  <c r="A80" i="5"/>
  <c r="B79" i="5"/>
  <c r="A79" i="5"/>
  <c r="B78" i="5"/>
  <c r="A78" i="5"/>
  <c r="B77" i="5"/>
  <c r="A77" i="5"/>
  <c r="B76" i="5"/>
  <c r="A76" i="5"/>
  <c r="B75" i="5"/>
  <c r="A75" i="5"/>
  <c r="B74" i="5"/>
  <c r="A74" i="5"/>
  <c r="B73" i="5"/>
  <c r="A73" i="5"/>
  <c r="B72" i="5"/>
  <c r="A72" i="5"/>
  <c r="B71" i="5"/>
  <c r="A71" i="5"/>
  <c r="B70" i="5"/>
  <c r="A70" i="5"/>
  <c r="B69" i="5"/>
  <c r="A69" i="5"/>
  <c r="B68" i="5"/>
  <c r="A68" i="5"/>
  <c r="B67" i="5"/>
  <c r="A67" i="5"/>
  <c r="B66" i="5"/>
  <c r="A66" i="5"/>
  <c r="B65" i="5"/>
  <c r="A65" i="5"/>
  <c r="B64" i="5"/>
  <c r="A64" i="5"/>
  <c r="B63" i="5"/>
  <c r="A63" i="5"/>
  <c r="B62" i="5"/>
  <c r="A62" i="5"/>
  <c r="B61" i="5"/>
  <c r="A61" i="5"/>
  <c r="B60" i="5"/>
  <c r="A60" i="5"/>
  <c r="B59" i="5"/>
  <c r="A59" i="5"/>
  <c r="B58" i="5"/>
  <c r="A58" i="5"/>
  <c r="B57" i="5"/>
  <c r="A57" i="5"/>
  <c r="B56" i="5"/>
  <c r="A56" i="5"/>
  <c r="B55" i="5"/>
  <c r="A55" i="5"/>
  <c r="B54" i="5"/>
  <c r="A54" i="5"/>
  <c r="B53" i="5"/>
  <c r="A53" i="5"/>
  <c r="B52" i="5"/>
  <c r="A52" i="5"/>
  <c r="B51" i="5"/>
  <c r="A51" i="5"/>
  <c r="B50" i="5"/>
  <c r="A50" i="5"/>
  <c r="B49" i="5"/>
  <c r="A49" i="5"/>
  <c r="B48" i="5"/>
  <c r="A48" i="5"/>
  <c r="B47" i="5"/>
  <c r="A47" i="5"/>
  <c r="B46" i="5"/>
  <c r="A46" i="5"/>
  <c r="B45" i="5"/>
  <c r="A45" i="5"/>
  <c r="B44" i="5"/>
  <c r="A44" i="5"/>
  <c r="B43" i="5"/>
  <c r="A43" i="5"/>
  <c r="B42" i="5"/>
  <c r="A42" i="5"/>
  <c r="B41" i="5"/>
  <c r="A41" i="5"/>
  <c r="B40" i="5"/>
  <c r="A40" i="5"/>
  <c r="B39" i="5"/>
  <c r="A39" i="5"/>
  <c r="B38" i="5"/>
  <c r="A38" i="5"/>
  <c r="B37" i="5"/>
  <c r="A37" i="5"/>
  <c r="B36" i="5"/>
  <c r="A36" i="5"/>
  <c r="B35" i="5"/>
  <c r="A35" i="5"/>
  <c r="B34" i="5"/>
  <c r="A34" i="5"/>
  <c r="B33" i="5"/>
  <c r="A33" i="5"/>
  <c r="B32" i="5"/>
  <c r="A32" i="5"/>
  <c r="B31" i="5"/>
  <c r="A31" i="5"/>
  <c r="B30" i="5"/>
  <c r="A30" i="5"/>
  <c r="B29" i="5"/>
  <c r="A29" i="5"/>
  <c r="B28" i="5"/>
  <c r="A28" i="5"/>
  <c r="B27" i="5"/>
  <c r="A27" i="5"/>
  <c r="B26" i="5"/>
  <c r="A26" i="5"/>
  <c r="B25" i="5"/>
  <c r="A25" i="5"/>
  <c r="B24" i="5"/>
  <c r="A24" i="5"/>
  <c r="B23" i="5"/>
  <c r="A23" i="5"/>
  <c r="B22" i="5"/>
  <c r="A22" i="5"/>
  <c r="B21" i="5"/>
  <c r="A21" i="5"/>
  <c r="B20" i="5"/>
  <c r="A20" i="5"/>
  <c r="B19" i="5"/>
  <c r="A19" i="5"/>
  <c r="B18" i="5"/>
  <c r="A18" i="5"/>
  <c r="B17" i="5"/>
  <c r="A17" i="5"/>
  <c r="B16" i="5"/>
  <c r="A16" i="5"/>
  <c r="B15" i="5"/>
  <c r="A15" i="5"/>
  <c r="B14" i="5"/>
  <c r="A14" i="5"/>
  <c r="B13" i="5"/>
  <c r="A13" i="5"/>
  <c r="B12" i="5"/>
  <c r="A12" i="5"/>
  <c r="B11" i="5"/>
  <c r="A11" i="5"/>
  <c r="B10" i="5"/>
  <c r="A10" i="5"/>
  <c r="B9" i="5"/>
  <c r="A9" i="5"/>
  <c r="B8" i="5"/>
  <c r="A8" i="5"/>
  <c r="B7" i="5"/>
  <c r="A7" i="5"/>
  <c r="B6" i="5"/>
  <c r="A6" i="5"/>
  <c r="B5" i="5"/>
  <c r="A5" i="5"/>
  <c r="B4" i="5"/>
  <c r="A4" i="5"/>
  <c r="B3" i="5"/>
  <c r="A3" i="5"/>
  <c r="B2" i="5"/>
  <c r="A2" i="5"/>
  <c r="B78" i="3"/>
  <c r="B77" i="3"/>
  <c r="B76" i="3"/>
  <c r="B75" i="3"/>
  <c r="B74" i="3"/>
  <c r="B73" i="3"/>
  <c r="B72" i="3"/>
  <c r="B71" i="3"/>
  <c r="B70" i="3"/>
  <c r="B69" i="3"/>
  <c r="B68" i="3"/>
  <c r="B67" i="3"/>
  <c r="A67" i="3"/>
  <c r="B66" i="3"/>
  <c r="A66" i="3"/>
  <c r="B65" i="3"/>
  <c r="A65" i="3"/>
  <c r="B64" i="3"/>
  <c r="A64" i="3"/>
  <c r="B63" i="3"/>
  <c r="A63" i="3"/>
  <c r="B62" i="3"/>
  <c r="A62" i="3"/>
  <c r="B61" i="3"/>
  <c r="A61" i="3"/>
  <c r="B60" i="3"/>
  <c r="A60" i="3"/>
  <c r="B59" i="3"/>
  <c r="A59" i="3"/>
  <c r="B58" i="3"/>
  <c r="A58" i="3"/>
  <c r="B57" i="3"/>
  <c r="A57" i="3"/>
  <c r="B56" i="3"/>
  <c r="A56" i="3"/>
  <c r="B55" i="3"/>
  <c r="A55" i="3"/>
  <c r="B54" i="3"/>
  <c r="A54" i="3"/>
  <c r="B53" i="3"/>
  <c r="A53" i="3"/>
  <c r="B52" i="3"/>
  <c r="A52" i="3"/>
  <c r="B51" i="3"/>
  <c r="A51" i="3"/>
  <c r="B50" i="3"/>
  <c r="A50" i="3"/>
  <c r="B49" i="3"/>
  <c r="A49" i="3"/>
  <c r="B48" i="3"/>
  <c r="A48" i="3"/>
  <c r="B47" i="3"/>
  <c r="A47" i="3"/>
  <c r="B46" i="3"/>
  <c r="A46" i="3"/>
  <c r="B45" i="3"/>
  <c r="A45" i="3"/>
  <c r="B44" i="3"/>
  <c r="A44" i="3"/>
  <c r="B43" i="3"/>
  <c r="A43" i="3"/>
  <c r="B42" i="3"/>
  <c r="A42" i="3"/>
  <c r="B41" i="3"/>
  <c r="A41" i="3"/>
  <c r="B40" i="3"/>
  <c r="A40" i="3"/>
  <c r="B39" i="3"/>
  <c r="A39" i="3"/>
  <c r="B38" i="3"/>
  <c r="A38" i="3"/>
  <c r="B37" i="3"/>
  <c r="A37" i="3"/>
  <c r="B36" i="3"/>
  <c r="A36" i="3"/>
  <c r="B35" i="3"/>
  <c r="A35" i="3"/>
  <c r="B34" i="3"/>
  <c r="A34" i="3"/>
  <c r="B33" i="3"/>
  <c r="A33" i="3"/>
  <c r="B32" i="3"/>
  <c r="A32" i="3"/>
  <c r="B31" i="3"/>
  <c r="A31" i="3"/>
  <c r="B30" i="3"/>
  <c r="A30" i="3"/>
  <c r="B29" i="3"/>
  <c r="A29" i="3"/>
  <c r="B28" i="3"/>
  <c r="A28" i="3"/>
  <c r="B27" i="3"/>
  <c r="A27" i="3"/>
  <c r="B26" i="3"/>
  <c r="A26" i="3"/>
  <c r="B25" i="3"/>
  <c r="A25" i="3"/>
  <c r="B24" i="3"/>
  <c r="A24" i="3"/>
  <c r="B23" i="3"/>
  <c r="A23" i="3"/>
  <c r="B22" i="3"/>
  <c r="A22" i="3"/>
  <c r="B21" i="3"/>
  <c r="A21" i="3"/>
  <c r="B20" i="3"/>
  <c r="A20" i="3"/>
  <c r="B19" i="3"/>
  <c r="A19" i="3"/>
  <c r="B18" i="3"/>
  <c r="A18" i="3"/>
  <c r="B17" i="3"/>
  <c r="A17" i="3"/>
  <c r="B16" i="3"/>
  <c r="A16" i="3"/>
  <c r="B15" i="3"/>
  <c r="A15" i="3"/>
  <c r="B14" i="3"/>
  <c r="A14" i="3"/>
  <c r="B13" i="3"/>
  <c r="A13" i="3"/>
  <c r="B12" i="3"/>
  <c r="A12" i="3"/>
  <c r="B11" i="3"/>
  <c r="A11" i="3"/>
  <c r="B10" i="3"/>
  <c r="A10" i="3"/>
  <c r="B9" i="3"/>
  <c r="A9" i="3"/>
  <c r="B8" i="3"/>
  <c r="A8" i="3"/>
  <c r="B7" i="3"/>
  <c r="A7" i="3"/>
  <c r="B6" i="3"/>
  <c r="A6" i="3"/>
  <c r="B5" i="3"/>
  <c r="A5" i="3"/>
  <c r="B4" i="3"/>
  <c r="A4" i="3"/>
  <c r="B3" i="3"/>
  <c r="A3" i="3"/>
  <c r="B79" i="4"/>
  <c r="B80" i="4"/>
  <c r="B81" i="4"/>
  <c r="B82"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A130" i="4"/>
  <c r="A131" i="4"/>
  <c r="A132" i="4"/>
  <c r="A133" i="4"/>
  <c r="A134" i="4"/>
  <c r="A135" i="4"/>
  <c r="A136" i="4"/>
  <c r="A137" i="4"/>
  <c r="A127" i="4"/>
  <c r="A128" i="4"/>
  <c r="A129" i="4"/>
  <c r="A123" i="4"/>
  <c r="A124" i="4"/>
  <c r="A125" i="4"/>
  <c r="A126" i="4"/>
  <c r="A79" i="4"/>
  <c r="A80" i="4"/>
  <c r="A81" i="4"/>
  <c r="A82"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B78" i="4"/>
  <c r="A78" i="4"/>
  <c r="B77" i="4"/>
  <c r="A77" i="4"/>
  <c r="B76" i="4"/>
  <c r="A76" i="4"/>
  <c r="B75" i="4"/>
  <c r="A75" i="4"/>
  <c r="B74" i="4"/>
  <c r="A74" i="4"/>
  <c r="B73" i="4"/>
  <c r="A73" i="4"/>
  <c r="B72" i="4"/>
  <c r="A72" i="4"/>
  <c r="B71" i="4"/>
  <c r="A71" i="4"/>
  <c r="B70" i="4"/>
  <c r="A70" i="4"/>
  <c r="B69" i="4"/>
  <c r="A69" i="4"/>
  <c r="B68" i="4"/>
  <c r="A68" i="4"/>
  <c r="B67" i="4"/>
  <c r="A67" i="4"/>
  <c r="B66" i="4"/>
  <c r="A66" i="4"/>
  <c r="B65" i="4"/>
  <c r="A65" i="4"/>
  <c r="B64" i="4"/>
  <c r="A64" i="4"/>
  <c r="B63" i="4"/>
  <c r="A63" i="4"/>
  <c r="B62" i="4"/>
  <c r="A62" i="4"/>
  <c r="B61" i="4"/>
  <c r="A61" i="4"/>
  <c r="B60" i="4"/>
  <c r="A60" i="4"/>
  <c r="B59" i="4"/>
  <c r="A59" i="4"/>
  <c r="B58" i="4"/>
  <c r="A58" i="4"/>
  <c r="B57" i="4"/>
  <c r="A57" i="4"/>
  <c r="B56" i="4"/>
  <c r="A56" i="4"/>
  <c r="B55" i="4"/>
  <c r="A55" i="4"/>
  <c r="B54" i="4"/>
  <c r="A54" i="4"/>
  <c r="B53" i="4"/>
  <c r="A53" i="4"/>
  <c r="B52" i="4"/>
  <c r="A52" i="4"/>
  <c r="B51" i="4"/>
  <c r="A51" i="4"/>
  <c r="B50" i="4"/>
  <c r="A50" i="4"/>
  <c r="B49" i="4"/>
  <c r="A49" i="4"/>
  <c r="B48" i="4"/>
  <c r="A48" i="4"/>
  <c r="B47" i="4"/>
  <c r="A47" i="4"/>
  <c r="B46" i="4"/>
  <c r="A46" i="4"/>
  <c r="B45" i="4"/>
  <c r="A45" i="4"/>
  <c r="B44" i="4"/>
  <c r="A44" i="4"/>
  <c r="B43" i="4"/>
  <c r="A43" i="4"/>
  <c r="B42" i="4"/>
  <c r="A42" i="4"/>
  <c r="B41" i="4"/>
  <c r="A41" i="4"/>
  <c r="B40" i="4"/>
  <c r="A40" i="4"/>
  <c r="B39" i="4"/>
  <c r="A39" i="4"/>
  <c r="B38" i="4"/>
  <c r="A38" i="4"/>
  <c r="B37" i="4"/>
  <c r="A37" i="4"/>
  <c r="B36" i="4"/>
  <c r="A36" i="4"/>
  <c r="B35" i="4"/>
  <c r="A35" i="4"/>
  <c r="B34" i="4"/>
  <c r="A34" i="4"/>
  <c r="B33" i="4"/>
  <c r="A33" i="4"/>
  <c r="B32" i="4"/>
  <c r="A32" i="4"/>
  <c r="B31" i="4"/>
  <c r="A31" i="4"/>
  <c r="B30" i="4"/>
  <c r="A30" i="4"/>
  <c r="B29" i="4"/>
  <c r="A29" i="4"/>
  <c r="B28" i="4"/>
  <c r="A28" i="4"/>
  <c r="B27" i="4"/>
  <c r="A27" i="4"/>
  <c r="B26" i="4"/>
  <c r="A26" i="4"/>
  <c r="B25" i="4"/>
  <c r="A25" i="4"/>
  <c r="B24" i="4"/>
  <c r="A24" i="4"/>
  <c r="B23" i="4"/>
  <c r="A23" i="4"/>
  <c r="B22" i="4"/>
  <c r="A22" i="4"/>
  <c r="B21" i="4"/>
  <c r="A21" i="4"/>
  <c r="B20" i="4"/>
  <c r="A20" i="4"/>
  <c r="B19" i="4"/>
  <c r="A19" i="4"/>
  <c r="B18" i="4"/>
  <c r="A18" i="4"/>
  <c r="B17" i="4"/>
  <c r="A17" i="4"/>
  <c r="B16" i="4"/>
  <c r="A16" i="4"/>
  <c r="B15" i="4"/>
  <c r="A15" i="4"/>
  <c r="B14" i="4"/>
  <c r="A14" i="4"/>
  <c r="B13" i="4"/>
  <c r="A13" i="4"/>
  <c r="B12" i="4"/>
  <c r="A12" i="4"/>
  <c r="B11" i="4"/>
  <c r="A11" i="4"/>
  <c r="B10" i="4"/>
  <c r="A10" i="4"/>
  <c r="B9" i="4"/>
  <c r="A9" i="4"/>
  <c r="B8" i="4"/>
  <c r="A8" i="4"/>
  <c r="B7" i="4"/>
  <c r="A7" i="4"/>
  <c r="B6" i="4"/>
  <c r="A6" i="4"/>
  <c r="B5" i="4"/>
  <c r="A5" i="4"/>
  <c r="B4" i="4"/>
  <c r="A4" i="4"/>
  <c r="B3" i="4"/>
  <c r="A3" i="4"/>
  <c r="B2" i="4"/>
  <c r="A2" i="4"/>
  <c r="B59" i="1"/>
  <c r="A2" i="1"/>
  <c r="A3" i="1"/>
  <c r="B61" i="1"/>
  <c r="B16" i="1"/>
  <c r="B27" i="1"/>
  <c r="B60" i="1"/>
  <c r="B57" i="1"/>
  <c r="B62" i="1"/>
  <c r="B6" i="1"/>
  <c r="B7" i="1"/>
  <c r="B70" i="1"/>
  <c r="B8" i="1"/>
  <c r="B46" i="1"/>
  <c r="B48" i="1"/>
  <c r="B9" i="1"/>
  <c r="B69" i="1"/>
  <c r="B63" i="1"/>
  <c r="B52" i="1"/>
  <c r="B25" i="1"/>
  <c r="B66" i="1"/>
  <c r="B41" i="1"/>
  <c r="B26" i="1"/>
  <c r="B10" i="1"/>
  <c r="B47" i="1"/>
  <c r="B54" i="1"/>
  <c r="B44" i="1"/>
  <c r="B43" i="1"/>
  <c r="B45" i="1"/>
  <c r="B5" i="1"/>
  <c r="B23" i="1"/>
  <c r="B76" i="1"/>
  <c r="B12" i="1"/>
  <c r="B13" i="1"/>
  <c r="B4" i="1"/>
  <c r="B56" i="1"/>
  <c r="B40" i="1"/>
  <c r="B42" i="1"/>
  <c r="B67" i="1"/>
  <c r="B14" i="1"/>
  <c r="B53" i="1"/>
  <c r="B38" i="1"/>
  <c r="B51" i="1"/>
  <c r="B50" i="1"/>
  <c r="B39" i="1"/>
  <c r="B29" i="1"/>
  <c r="B17" i="1"/>
  <c r="B11" i="1"/>
  <c r="B15" i="1"/>
  <c r="B36" i="1"/>
  <c r="B35" i="1"/>
  <c r="B34" i="1"/>
  <c r="B24" i="1"/>
  <c r="B68" i="1"/>
  <c r="B18" i="1"/>
  <c r="B37" i="1"/>
  <c r="B73" i="1"/>
  <c r="B55" i="1"/>
  <c r="B28" i="1"/>
  <c r="B74" i="1"/>
  <c r="B71" i="1"/>
  <c r="B72" i="1"/>
  <c r="B21" i="1"/>
  <c r="B75" i="1"/>
  <c r="B64" i="1"/>
  <c r="B49" i="1"/>
  <c r="B65" i="1"/>
  <c r="B19" i="1"/>
  <c r="B22" i="1"/>
  <c r="B32" i="1"/>
  <c r="B31" i="1"/>
  <c r="B33" i="1"/>
  <c r="B77" i="1"/>
  <c r="B58" i="1"/>
  <c r="B78" i="1"/>
  <c r="B30" i="1"/>
  <c r="B20" i="1"/>
  <c r="B2" i="1"/>
  <c r="B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A21643-5286-4540-9B0A-9486F1DFBA36}" keepAlive="1" name="Query - vallejo_model_color_latest" description="Verbinding maken met de query vallejo_model_color_latest in de werkmap." type="5" refreshedVersion="8" background="1" saveData="1">
    <dbPr connection="Provider=Microsoft.Mashup.OleDb.1;Data Source=$Workbook$;Location=vallejo_model_color_latest;Extended Properties=&quot;&quot;" command="SELECT * FROM [vallejo_model_color_latest]"/>
  </connection>
</connections>
</file>

<file path=xl/sharedStrings.xml><?xml version="1.0" encoding="utf-8"?>
<sst xmlns="http://schemas.openxmlformats.org/spreadsheetml/2006/main" count="1711" uniqueCount="630">
  <si>
    <t>70.951 White</t>
  </si>
  <si>
    <t>70.955 Flat Flesh</t>
  </si>
  <si>
    <t>70.766 Cream White</t>
  </si>
  <si>
    <t>70.837 Pale Sand</t>
  </si>
  <si>
    <t>70.953 Flat Yellow</t>
  </si>
  <si>
    <t>70.947 Dark Vermilion</t>
  </si>
  <si>
    <t>70.965 Prussian Blue</t>
  </si>
  <si>
    <t>70.754 Continental Blue</t>
  </si>
  <si>
    <t>70.756 Splinter Green</t>
  </si>
  <si>
    <t>70.980 Black Green</t>
  </si>
  <si>
    <t>70.757 Pacific Green</t>
  </si>
  <si>
    <t>70.895 Gunship Green</t>
  </si>
  <si>
    <t>70.897 Bronze Green</t>
  </si>
  <si>
    <t>70.758 Bright Green</t>
  </si>
  <si>
    <t>70.979 Camouflage Dark Green</t>
  </si>
  <si>
    <t>70.967 Olive Green</t>
  </si>
  <si>
    <t>70.922 Uniform Green</t>
  </si>
  <si>
    <t>70.823 Luftwaffe Green</t>
  </si>
  <si>
    <t>70.975 Military Green</t>
  </si>
  <si>
    <t>70.886 Green Grey</t>
  </si>
  <si>
    <t>70.830 German Fieldgrey WWII</t>
  </si>
  <si>
    <t>70.759 German Tank Crew</t>
  </si>
  <si>
    <t>70.896 Extra Dark Green</t>
  </si>
  <si>
    <t>70.924 Russian Uniform WWII</t>
  </si>
  <si>
    <t>70.893 US Dark Green</t>
  </si>
  <si>
    <t>70.890 Refractive Green</t>
  </si>
  <si>
    <t>70.894 Camouflage Olive Green</t>
  </si>
  <si>
    <t>70.741 Camouflage Black Green</t>
  </si>
  <si>
    <t>70.821 German Beige WWII</t>
  </si>
  <si>
    <t>70.988 Khaki</t>
  </si>
  <si>
    <t>70.762 Grey Brown</t>
  </si>
  <si>
    <t>70.763 Canvas</t>
  </si>
  <si>
    <t>70.740 Camouflage Middle Brown</t>
  </si>
  <si>
    <t>70.941 Burnt Umber</t>
  </si>
  <si>
    <t>70.881 Green Yellow</t>
  </si>
  <si>
    <t>70.887 US Olive Drab</t>
  </si>
  <si>
    <t>70.976 Buff</t>
  </si>
  <si>
    <t>70.764 Military Yellow</t>
  </si>
  <si>
    <t>70.923 Japanese Uniform WWII</t>
  </si>
  <si>
    <t>70.879 Green Brown</t>
  </si>
  <si>
    <t>70.921 English Uniform</t>
  </si>
  <si>
    <t>70.914 Green Ochre</t>
  </si>
  <si>
    <t>70.880 Khaki Grey</t>
  </si>
  <si>
    <t>70.847 Dark Sand</t>
  </si>
  <si>
    <t>70.767 Desert Brown</t>
  </si>
  <si>
    <t>70.761 Old Wood</t>
  </si>
  <si>
    <t>70.765 Desert Tan</t>
  </si>
  <si>
    <t>70.874 Tan Earth</t>
  </si>
  <si>
    <t>70.873 US Field Drab</t>
  </si>
  <si>
    <t>70.871 Leather Brown</t>
  </si>
  <si>
    <t>70.822 Camouflage Black Brown</t>
  </si>
  <si>
    <t>70.977 Desert Yellow</t>
  </si>
  <si>
    <t>70.769 Mustard Brown</t>
  </si>
  <si>
    <t>70.875 Beige Brown</t>
  </si>
  <si>
    <t>70.983 Flat Earth</t>
  </si>
  <si>
    <t>70.940 Saddle Brown</t>
  </si>
  <si>
    <t>70.846 Mahogany Brown</t>
  </si>
  <si>
    <t>70.984 Flat Brown</t>
  </si>
  <si>
    <t>70.981 Orange Brown</t>
  </si>
  <si>
    <t>70.982 Cavalry Brown</t>
  </si>
  <si>
    <t>70.814 Burnt Red</t>
  </si>
  <si>
    <t>70.985 Hull Red</t>
  </si>
  <si>
    <t>70.971 Light Green Grey</t>
  </si>
  <si>
    <t>70.906 Pale Blue</t>
  </si>
  <si>
    <t>70.972 Light Green Blue</t>
  </si>
  <si>
    <t>70.772 Medium Grey Blue</t>
  </si>
  <si>
    <t>70.816 Luftwaffe Uniform</t>
  </si>
  <si>
    <t>70.867 Dark Blue Grey</t>
  </si>
  <si>
    <t>70.866 Grey Green</t>
  </si>
  <si>
    <t>70.868 Dark Sea Green</t>
  </si>
  <si>
    <t>70.995 German Grey</t>
  </si>
  <si>
    <t>70.950 Black</t>
  </si>
  <si>
    <t>70.997 Silver</t>
  </si>
  <si>
    <t>70.863 Gunmetal</t>
  </si>
  <si>
    <t>70.801 Brass</t>
  </si>
  <si>
    <t>70.520 Matt Varnish</t>
  </si>
  <si>
    <t>70.524 Thinner Medium</t>
  </si>
  <si>
    <t>NR</t>
  </si>
  <si>
    <t>Verf</t>
  </si>
  <si>
    <t>Verf en code</t>
  </si>
  <si>
    <t>70.913 Yellow Ochre</t>
  </si>
  <si>
    <t>70.879 - Green Brown</t>
  </si>
  <si>
    <t>70.887 - US Olive Drab</t>
  </si>
  <si>
    <t>70.766 Creme Wit</t>
  </si>
  <si>
    <t>Vallejo 70255 Model Color - Duitse AFV Kleuren WWII </t>
  </si>
  <si>
    <t>70.897 Brons Groen</t>
  </si>
  <si>
    <t>70.979 Camouflage Donker Groen</t>
  </si>
  <si>
    <t>70.890 Refractief Groen</t>
  </si>
  <si>
    <t>70.762 Grijs Bruin</t>
  </si>
  <si>
    <t>70.879 Groen Bruin</t>
  </si>
  <si>
    <t>70.764 Militair Geel</t>
  </si>
  <si>
    <t>70.767 Woestijn Bruin</t>
  </si>
  <si>
    <t>70.847 Donker Zand</t>
  </si>
  <si>
    <t>70.761 Oudd Hout</t>
  </si>
  <si>
    <t>70.868 Dinker Zeegroen</t>
  </si>
  <si>
    <t>70.814 Rood Verbrand</t>
  </si>
  <si>
    <t>70.985 Romp Rood</t>
  </si>
  <si>
    <t>70.883 Zilver Grijs</t>
  </si>
  <si>
    <t>70.995 Duits Grijs</t>
  </si>
  <si>
    <t>70.950 Zwart</t>
  </si>
  <si>
    <t>70.845 Sunny Skin Tone</t>
  </si>
  <si>
    <t>70.741 Camouflage SS Dk Black Green</t>
  </si>
  <si>
    <t>70.884 Stone Grey</t>
  </si>
  <si>
    <t>Vallejo 70249 Waffen-SS Tank Crew - Kursk 1943</t>
  </si>
  <si>
    <t>Vallejo 70249 Waffen-SS Tank Crew - Kursk 1944</t>
  </si>
  <si>
    <t>Vallejo 70249 Waffen-SS Tank Crew - Kursk 1945</t>
  </si>
  <si>
    <t>Vallejo 70249 Waffen-SS Tank Crew - Kursk 1946</t>
  </si>
  <si>
    <t>Vallejo 70249 Waffen-SS Tank Crew - Kursk 1947</t>
  </si>
  <si>
    <t>Vallejo 70249 Waffen-SS Tank Crew - Kursk 1948</t>
  </si>
  <si>
    <t>Vallejo 70249 Waffen-SS Tank Crew - Kursk 1949</t>
  </si>
  <si>
    <t>Vallejo 70249 Waffen-SS Tank Crew - Kursk 1950</t>
  </si>
  <si>
    <t>Vallejo 70261 Model Color - Duitse camouflage-uniformen WWII Kleuren</t>
  </si>
  <si>
    <t>70.801 - Brass</t>
  </si>
  <si>
    <t>70.805 - German Orange</t>
  </si>
  <si>
    <t>70.806 - German Yellow</t>
  </si>
  <si>
    <t>70.818 - Red Leather</t>
  </si>
  <si>
    <t>70.845 - Sunny Skin Tone</t>
  </si>
  <si>
    <t>70.861 - Glossy Black</t>
  </si>
  <si>
    <t>70.868 - Dark Sea Green</t>
  </si>
  <si>
    <t>70.871 - Leather Brown</t>
  </si>
  <si>
    <t>70.912 - Tan Yellow</t>
  </si>
  <si>
    <t>70.920 - German Uniform</t>
  </si>
  <si>
    <t>70.946 - Dark Red</t>
  </si>
  <si>
    <t>70.950 - Black</t>
  </si>
  <si>
    <t>70.951 - White</t>
  </si>
  <si>
    <t>70.992 - Neutral Grey</t>
  </si>
  <si>
    <t>70.995 - German Grey </t>
  </si>
  <si>
    <t>70.997 - Silver</t>
  </si>
  <si>
    <t>70107 Vallejo MC Set German Colors (16)</t>
  </si>
  <si>
    <t>70.816 - Luftwaffe Uniform WWII</t>
  </si>
  <si>
    <t>70.821 - German Camouflage Beige WWII</t>
  </si>
  <si>
    <t>70.822 - German Camouflage Black Brown</t>
  </si>
  <si>
    <t>70.823 - Luftwaffe Camouflage Green</t>
  </si>
  <si>
    <t>70.824 - German Camouflage Orange Ochre</t>
  </si>
  <si>
    <t>70.825 - German Camouflage Pale Brown</t>
  </si>
  <si>
    <t>70.826 - German Camouflage Medium Brown</t>
  </si>
  <si>
    <t>70.830 - German Field Grey WWII</t>
  </si>
  <si>
    <t>70.833 - German Camouflage Bright Green</t>
  </si>
  <si>
    <t>70.835 - Salmon Rose</t>
  </si>
  <si>
    <t>70.964 - Field Blue</t>
  </si>
  <si>
    <t>70.969 - Park Green Flat</t>
  </si>
  <si>
    <t>70.979 - Camouflage Dark Green </t>
  </si>
  <si>
    <t>70.896 - German Camouflage Extra Dark Green</t>
  </si>
  <si>
    <t>70114 Vallejo MC Set WW II German Camouflage</t>
  </si>
  <si>
    <t>70.820 - Off-White</t>
  </si>
  <si>
    <t>70.918 - Ivory</t>
  </si>
  <si>
    <t>70.911 - Light Orange</t>
  </si>
  <si>
    <t>70.886 - Green Grey</t>
  </si>
  <si>
    <t>70.986 - Deck Tan</t>
  </si>
  <si>
    <t>70.884 - Stone Grey</t>
  </si>
  <si>
    <t>70.987 - Medium Grey</t>
  </si>
  <si>
    <t>70.941 - Burnt Umber</t>
  </si>
  <si>
    <t>70.882 - Middle Stone</t>
  </si>
  <si>
    <t>70.819 - Iraqi Sand</t>
  </si>
  <si>
    <t>70.916 - Sand Yellow</t>
  </si>
  <si>
    <t>70.875 - Beige Brown</t>
  </si>
  <si>
    <t>70.856 - Ochre Brown</t>
  </si>
  <si>
    <t>70.994 - Dark Grey</t>
  </si>
  <si>
    <t>70141 Vallejo MC Earth Tones Set</t>
  </si>
  <si>
    <t>70.886 Groengrijs</t>
  </si>
  <si>
    <t>70.893 US Donkergroen</t>
  </si>
  <si>
    <t>70.887 US Olijfgroen</t>
  </si>
  <si>
    <t>70.879 Groenbruin</t>
  </si>
  <si>
    <t>70.873 US Veldgroen</t>
  </si>
  <si>
    <t>Vallejo 70203 Model Color - WWII Amerikaanse Tanks en Infanterie Kleurenset</t>
  </si>
  <si>
    <t>Vallejo 70253 Model Color - Militaire Koffer - Camouflage en Uniforms </t>
  </si>
  <si>
    <t>70.883 - Zilver Grijs</t>
  </si>
  <si>
    <t>70.897 - Bronze Green</t>
  </si>
  <si>
    <t>70.924 - Russian Uniform WWII</t>
  </si>
  <si>
    <t>70.921 - English Uniform</t>
  </si>
  <si>
    <t>70.988 - Khaki</t>
  </si>
  <si>
    <t>70.914 - Green Ochre</t>
  </si>
  <si>
    <t>70.983 - Flat Earth</t>
  </si>
  <si>
    <t>70204 WWII British Armour &amp; Infantry Paint Set (6)</t>
  </si>
  <si>
    <t>WWII Amerikaanse Tanks en Infanterie Kleurenset</t>
  </si>
  <si>
    <t>70.803 - Brown Rose</t>
  </si>
  <si>
    <t>70.815 - Basic Skintone</t>
  </si>
  <si>
    <t>70.845 - Sunny Skintone</t>
  </si>
  <si>
    <t>70.846 - Mahogany Sand, </t>
  </si>
  <si>
    <t>70.860 - Medium Fleshtone</t>
  </si>
  <si>
    <t>70.890 - Dark Prussia Blue</t>
  </si>
  <si>
    <t>70.909 - Vermillion</t>
  </si>
  <si>
    <t>70.923 - Japan Uniform WWII, </t>
  </si>
  <si>
    <t>70.926 - Red</t>
  </si>
  <si>
    <t>70.927 - Dark Flesh</t>
  </si>
  <si>
    <t>70.928 - Light Flesh</t>
  </si>
  <si>
    <t>70.929 - Light Brown</t>
  </si>
  <si>
    <t>70.951 - White. </t>
  </si>
  <si>
    <t>70125 Vallejo MC Set Face Skin Colors (16)</t>
  </si>
  <si>
    <t>70.847 - Dark Sand</t>
  </si>
  <si>
    <t>70.873 - US Field Drab</t>
  </si>
  <si>
    <t>70.889 - Olive Brown</t>
  </si>
  <si>
    <t>70.893 - US Dark Green</t>
  </si>
  <si>
    <t>70.890 - Refractive Green</t>
  </si>
  <si>
    <t>70.862 - Black Grey</t>
  </si>
  <si>
    <t>70220 WW3 American Armour &amp; Infantry Paint Set (8)</t>
  </si>
  <si>
    <t>70.880 - Khaki Grey</t>
  </si>
  <si>
    <t>70.906 - Pale Blue</t>
  </si>
  <si>
    <t>70.982 - Cavalry Brown</t>
  </si>
  <si>
    <t>70221 WW3 Soviet Armour &amp; Infantry Paint Set (8)</t>
  </si>
  <si>
    <t>70.740 - Camouflage Middle Brown</t>
  </si>
  <si>
    <t>70.741 - Camouflage Black Green</t>
  </si>
  <si>
    <t>70.756 -Splinter Green</t>
  </si>
  <si>
    <t>70.758 - Bright Green</t>
  </si>
  <si>
    <t>70.821 - German Beige WWII</t>
  </si>
  <si>
    <t>70.822 - Camouflage Black Brown</t>
  </si>
  <si>
    <t>70.846 - Mahogany Brown</t>
  </si>
  <si>
    <t>70.913 - Yellow Ochre</t>
  </si>
  <si>
    <t>70.940 - Saddle Brown</t>
  </si>
  <si>
    <t>70.955 - Flat Flesh</t>
  </si>
  <si>
    <t>70.967 - Olive Green</t>
  </si>
  <si>
    <t>70.981 - Orange Brown</t>
  </si>
  <si>
    <t>70.984 - Flat Brown</t>
  </si>
  <si>
    <t>70.985 - Hull Red</t>
  </si>
  <si>
    <t>70261 Vallejo German Camouflage Uniforms WWII (16)</t>
  </si>
  <si>
    <t>71.042 - Dark Brown RLM61</t>
  </si>
  <si>
    <t>74.506 - Rust</t>
  </si>
  <si>
    <t>74.513 - Brown</t>
  </si>
  <si>
    <t>70262 Vallejo Rust and Corosion Set (8)</t>
  </si>
  <si>
    <t>71.042 Dark Brown RLM61</t>
  </si>
  <si>
    <t>70.820 Off-White</t>
  </si>
  <si>
    <t>74.521 - Oiled Earth</t>
  </si>
  <si>
    <t>76.813 - Oil Stains</t>
  </si>
  <si>
    <t>76.817 - Petrol Spills</t>
  </si>
  <si>
    <t>76.818 - Brown Engine Soot</t>
  </si>
  <si>
    <t>70264 Vallejo Railroad Weathering Set (8)</t>
  </si>
  <si>
    <t>70.865 - Oily Steel</t>
  </si>
  <si>
    <t>73.200 - Sepia Wash</t>
  </si>
  <si>
    <t>73.201 - Black Wash</t>
  </si>
  <si>
    <t>70201 Utility Paint Set WWII &amp; WWIII Paint Set (8)</t>
  </si>
  <si>
    <t>71.009 - Eau de Nil “D. E. Green”</t>
  </si>
  <si>
    <t>71.106 - Ivory RLM05</t>
  </si>
  <si>
    <t>71.137 - US Light Green</t>
  </si>
  <si>
    <t>71.045 - Cement Grey</t>
  </si>
  <si>
    <t>71.014 - Gunship Green</t>
  </si>
  <si>
    <t>71.012 - Dark Green</t>
  </si>
  <si>
    <t>71.018 - Black Green</t>
  </si>
  <si>
    <t>70.057 - Black</t>
  </si>
  <si>
    <t>71621 Air Color Modern Russian Green Patterns (8)</t>
  </si>
  <si>
    <t>71.006 Light Green Chromate</t>
  </si>
  <si>
    <t>71.007 Olive Green</t>
  </si>
  <si>
    <t>71.009 Eau de Nil “Duck Egg Green”</t>
  </si>
  <si>
    <t>71.010 Interior Green</t>
  </si>
  <si>
    <t>71.011 Dark Green RLM83</t>
  </si>
  <si>
    <t>71.012 Dark Green</t>
  </si>
  <si>
    <t>71.016 USAF Olive Drab</t>
  </si>
  <si>
    <t>71.017 Russian Green 4BO</t>
  </si>
  <si>
    <t>71.018 Black Green</t>
  </si>
  <si>
    <t>71.019 Camouflage Dark Green</t>
  </si>
  <si>
    <t>71.022 Light Green RLM82</t>
  </si>
  <si>
    <t>71.023 Hemp</t>
  </si>
  <si>
    <t>71.024 Khaki Brown</t>
  </si>
  <si>
    <t>71.025 Dark Yellow</t>
  </si>
  <si>
    <t>71.026 USA Flat Brown</t>
  </si>
  <si>
    <t>71.028 Sand Yellow</t>
  </si>
  <si>
    <t>71.029 Dark Earth</t>
  </si>
  <si>
    <t>71.030 Brown Green</t>
  </si>
  <si>
    <t>71.035 Camouflage Pale Brown</t>
  </si>
  <si>
    <t>71.038 Camouflage Medium Brown</t>
  </si>
  <si>
    <t>71.041 Armour Brown</t>
  </si>
  <si>
    <t>71.045 Cement Grey</t>
  </si>
  <si>
    <t>71.046 Pale Blue Grey</t>
  </si>
  <si>
    <t>71.049 Sea Grey</t>
  </si>
  <si>
    <t>71.051 Neutral Gray</t>
  </si>
  <si>
    <t>71.052 Anthracite Grey</t>
  </si>
  <si>
    <t>71.054 Dark Grey Blue</t>
  </si>
  <si>
    <t>71.056 Panzer Dark Grey</t>
  </si>
  <si>
    <t>71.099 Airbrush Cleaner</t>
  </si>
  <si>
    <r>
      <t>74.506</t>
    </r>
    <r>
      <rPr>
        <sz val="14"/>
        <color rgb="FF2E2C39"/>
        <rFont val="Inherit"/>
      </rPr>
      <t> Rust (Weathering Effects)</t>
    </r>
  </si>
  <si>
    <r>
      <t xml:space="preserve">70.981 </t>
    </r>
    <r>
      <rPr>
        <sz val="14"/>
        <color rgb="FF2E2C39"/>
        <rFont val="Inherit"/>
      </rPr>
      <t>Orange Brown (Model Color)</t>
    </r>
  </si>
  <si>
    <r>
      <t xml:space="preserve">70.985 </t>
    </r>
    <r>
      <rPr>
        <sz val="14"/>
        <color rgb="FF2E2C39"/>
        <rFont val="Inherit"/>
      </rPr>
      <t>Hull Red (Model Color)</t>
    </r>
  </si>
  <si>
    <r>
      <t xml:space="preserve">71.129 </t>
    </r>
    <r>
      <rPr>
        <sz val="14"/>
        <color rgb="FF2E2C39"/>
        <rFont val="Inherit"/>
      </rPr>
      <t>Light Rust (Model Air)</t>
    </r>
  </si>
  <si>
    <r>
      <t xml:space="preserve">71.042 </t>
    </r>
    <r>
      <rPr>
        <sz val="14"/>
        <color rgb="FF2E2C39"/>
        <rFont val="Inherit"/>
      </rPr>
      <t>Dark Brown RLM61 (Model Air)</t>
    </r>
  </si>
  <si>
    <r>
      <t xml:space="preserve">71.080 </t>
    </r>
    <r>
      <rPr>
        <sz val="14"/>
        <color rgb="FF2E2C39"/>
        <rFont val="Inherit"/>
      </rPr>
      <t>Rust (Model Air)</t>
    </r>
  </si>
  <si>
    <r>
      <t xml:space="preserve">74.506 </t>
    </r>
    <r>
      <rPr>
        <sz val="14"/>
        <color rgb="FF2E2C39"/>
        <rFont val="Inherit"/>
      </rPr>
      <t>Rust (Weathering Effects)</t>
    </r>
  </si>
  <si>
    <r>
      <t xml:space="preserve">74.513 </t>
    </r>
    <r>
      <rPr>
        <sz val="14"/>
        <color rgb="FF2E2C39"/>
        <rFont val="Inherit"/>
      </rPr>
      <t>Brown (Weathering Effects)</t>
    </r>
  </si>
  <si>
    <r>
      <t>74.521</t>
    </r>
    <r>
      <rPr>
        <sz val="14"/>
        <color rgb="FF2E2C39"/>
        <rFont val="Inherit"/>
      </rPr>
      <t>  Oiled Earth (Weathering Effects)</t>
    </r>
  </si>
  <si>
    <t>70.805 German Orange</t>
  </si>
  <si>
    <t>70.818 Red Leather</t>
  </si>
  <si>
    <t>70.806 German Yellow</t>
  </si>
  <si>
    <t>70.861 Glossy Black</t>
  </si>
  <si>
    <t>70.912 Tan Yellow</t>
  </si>
  <si>
    <t>70.871 -Leather Brown</t>
  </si>
  <si>
    <t>70.920 German Uniform</t>
  </si>
  <si>
    <t>Matt Varnish</t>
  </si>
  <si>
    <t>Thinner Medium</t>
  </si>
  <si>
    <t>German Tank Crew</t>
  </si>
  <si>
    <t>Old Wood</t>
  </si>
  <si>
    <t>Grey Brown</t>
  </si>
  <si>
    <t>Canvas</t>
  </si>
  <si>
    <t>Military Yellow</t>
  </si>
  <si>
    <t>Desert Tan</t>
  </si>
  <si>
    <t>Cream White</t>
  </si>
  <si>
    <t>Desert Brown</t>
  </si>
  <si>
    <t>Mustard Brown</t>
  </si>
  <si>
    <t>Medium Grey Blue</t>
  </si>
  <si>
    <t>Burnt Red</t>
  </si>
  <si>
    <t>Luftwaffe Uniform</t>
  </si>
  <si>
    <t>German Beige WWII</t>
  </si>
  <si>
    <t>Luftwaffe Green</t>
  </si>
  <si>
    <t>Pale Sand</t>
  </si>
  <si>
    <t>Dark Sand</t>
  </si>
  <si>
    <t>Grey Green</t>
  </si>
  <si>
    <t>Dark Blue Grey</t>
  </si>
  <si>
    <t>Dark Sea Green</t>
  </si>
  <si>
    <t>Leather Brown</t>
  </si>
  <si>
    <t>US Field Drab</t>
  </si>
  <si>
    <t>Tan Earth</t>
  </si>
  <si>
    <t>Beige Brown</t>
  </si>
  <si>
    <t>Green Brown</t>
  </si>
  <si>
    <t>Green Yellow</t>
  </si>
  <si>
    <t>Green Grey</t>
  </si>
  <si>
    <t>US Olive Drab</t>
  </si>
  <si>
    <t>Refractive Green</t>
  </si>
  <si>
    <t>US Dark Green</t>
  </si>
  <si>
    <t>Gunship Green</t>
  </si>
  <si>
    <t>Extra Dark Green</t>
  </si>
  <si>
    <t>Bronze Green</t>
  </si>
  <si>
    <t>Pale Blue</t>
  </si>
  <si>
    <t>Green Ochre</t>
  </si>
  <si>
    <t>English Uniform</t>
  </si>
  <si>
    <t>Uniform Green</t>
  </si>
  <si>
    <t>Japanese Uniform WWII</t>
  </si>
  <si>
    <t>Russian Uniform WWII</t>
  </si>
  <si>
    <t>Saddle Brown</t>
  </si>
  <si>
    <t>Burnt Umber</t>
  </si>
  <si>
    <t>Dark Vermilion</t>
  </si>
  <si>
    <t>Black</t>
  </si>
  <si>
    <t>White</t>
  </si>
  <si>
    <t>Flat Yellow</t>
  </si>
  <si>
    <t>Flat Flesh</t>
  </si>
  <si>
    <t>Prussian Blue</t>
  </si>
  <si>
    <t>Olive Green</t>
  </si>
  <si>
    <t>Light Green Grey</t>
  </si>
  <si>
    <t>Light Green Blue</t>
  </si>
  <si>
    <t>Military Green</t>
  </si>
  <si>
    <t>Buff</t>
  </si>
  <si>
    <t>Desert Yellow</t>
  </si>
  <si>
    <t>Black Green</t>
  </si>
  <si>
    <t>Orange Brown</t>
  </si>
  <si>
    <t>Cavalry Brown</t>
  </si>
  <si>
    <t>Flat Earth</t>
  </si>
  <si>
    <t>Flat Brown</t>
  </si>
  <si>
    <t>Hull Red</t>
  </si>
  <si>
    <t>Khaki</t>
  </si>
  <si>
    <t>German Grey</t>
  </si>
  <si>
    <t>Silver</t>
  </si>
  <si>
    <t>Zwart</t>
  </si>
  <si>
    <t>Stone Grey</t>
  </si>
  <si>
    <t>Yellow Ochre</t>
  </si>
  <si>
    <t>eigen verf</t>
  </si>
  <si>
    <t>Number</t>
  </si>
  <si>
    <t>Name</t>
  </si>
  <si>
    <t>ColorFamily</t>
  </si>
  <si>
    <t>Description</t>
  </si>
  <si>
    <t>Wit</t>
  </si>
  <si>
    <t>Pure white base color</t>
  </si>
  <si>
    <t>Pure black base color</t>
  </si>
  <si>
    <t>Lemon Yellow</t>
  </si>
  <si>
    <t>Geel</t>
  </si>
  <si>
    <t>Bright lemon yellow</t>
  </si>
  <si>
    <t>Standard yellow</t>
  </si>
  <si>
    <t>Yellow Green</t>
  </si>
  <si>
    <t>Groen/Geel</t>
  </si>
  <si>
    <t>Light green-yellow</t>
  </si>
  <si>
    <t>Huid</t>
  </si>
  <si>
    <t>Standard flesh tone</t>
  </si>
  <si>
    <t>Clear Orange</t>
  </si>
  <si>
    <t>Oranje/Transparant</t>
  </si>
  <si>
    <t>Transparent orange</t>
  </si>
  <si>
    <t>Flat Red</t>
  </si>
  <si>
    <t>Rood</t>
  </si>
  <si>
    <t>Standard red</t>
  </si>
  <si>
    <t>Pink</t>
  </si>
  <si>
    <t>Roze</t>
  </si>
  <si>
    <t>Soft pink</t>
  </si>
  <si>
    <t>Purple</t>
  </si>
  <si>
    <t>Paars</t>
  </si>
  <si>
    <t>Standard purple</t>
  </si>
  <si>
    <t>Violet</t>
  </si>
  <si>
    <t>Deep violet</t>
  </si>
  <si>
    <t>Light Blue</t>
  </si>
  <si>
    <t>Blauw</t>
  </si>
  <si>
    <t>Light blue</t>
  </si>
  <si>
    <t>Flat Blue</t>
  </si>
  <si>
    <t>Standard blue</t>
  </si>
  <si>
    <t>Medium Blue</t>
  </si>
  <si>
    <t>Mid blue</t>
  </si>
  <si>
    <t>Field Blue</t>
  </si>
  <si>
    <t>Blauwgrijs</t>
  </si>
  <si>
    <t>Military blue-grey</t>
  </si>
  <si>
    <t>Dark Prussian blue</t>
  </si>
  <si>
    <t>Turquoise</t>
  </si>
  <si>
    <t>Blauwgroen</t>
  </si>
  <si>
    <t>Turquoise tone</t>
  </si>
  <si>
    <t>Groen</t>
  </si>
  <si>
    <t>Classic olive green</t>
  </si>
  <si>
    <t>Flat Green</t>
  </si>
  <si>
    <t>Standard green</t>
  </si>
  <si>
    <t>Park Green Flat</t>
  </si>
  <si>
    <t>Bright grass green</t>
  </si>
  <si>
    <t>Deep Green</t>
  </si>
  <si>
    <t>Dark green</t>
  </si>
  <si>
    <t>Groen/Grijs</t>
  </si>
  <si>
    <t>Muted green-grey</t>
  </si>
  <si>
    <t>Light Green</t>
  </si>
  <si>
    <t>Light green</t>
  </si>
  <si>
    <t>Light Sea Grey</t>
  </si>
  <si>
    <t>Grijs</t>
  </si>
  <si>
    <t>Pale sea grey</t>
  </si>
  <si>
    <t>Green Sky</t>
  </si>
  <si>
    <t>Mint green</t>
  </si>
  <si>
    <t>Groen Militair</t>
  </si>
  <si>
    <t>Dark military green</t>
  </si>
  <si>
    <t>Beige</t>
  </si>
  <si>
    <t>Sand tone</t>
  </si>
  <si>
    <t>Geel/Beige</t>
  </si>
  <si>
    <t>Desert yellow</t>
  </si>
  <si>
    <t>Dark Yellow</t>
  </si>
  <si>
    <t>Dunkelgelb variant</t>
  </si>
  <si>
    <t>German Camo Dark Green</t>
  </si>
  <si>
    <t>Dark camo green</t>
  </si>
  <si>
    <t>Groen Donker</t>
  </si>
  <si>
    <t>Very dark green</t>
  </si>
  <si>
    <t>Bruin/Oranje</t>
  </si>
  <si>
    <t>Warm brown-orange</t>
  </si>
  <si>
    <t>Bruin/Rood</t>
  </si>
  <si>
    <t>Red-brown</t>
  </si>
  <si>
    <t>Bruin</t>
  </si>
  <si>
    <t>Earth brown</t>
  </si>
  <si>
    <t>Standard brown</t>
  </si>
  <si>
    <t>Bruinrood</t>
  </si>
  <si>
    <t>Dark red-brown</t>
  </si>
  <si>
    <t>Deck Tan</t>
  </si>
  <si>
    <t>Light beige</t>
  </si>
  <si>
    <t>Medium Grey</t>
  </si>
  <si>
    <t>Mid grey</t>
  </si>
  <si>
    <t>Classic khaki</t>
  </si>
  <si>
    <t>Sky Grey</t>
  </si>
  <si>
    <t>Light grey</t>
  </si>
  <si>
    <t>Light Grey</t>
  </si>
  <si>
    <t>Very light grey</t>
  </si>
  <si>
    <t>Dark Sea Grey</t>
  </si>
  <si>
    <t>Marine dark grey</t>
  </si>
  <si>
    <t>Neutral Grey</t>
  </si>
  <si>
    <t>Neutral grey</t>
  </si>
  <si>
    <t>White Grey</t>
  </si>
  <si>
    <t>Dark Grey</t>
  </si>
  <si>
    <t>Dark grey</t>
  </si>
  <si>
    <t>Donkergrijs</t>
  </si>
  <si>
    <t>WWII Panzer grey</t>
  </si>
  <si>
    <t>Gold</t>
  </si>
  <si>
    <t>Metallic</t>
  </si>
  <si>
    <t>Metallic gold</t>
  </si>
  <si>
    <t>Metallic silver</t>
  </si>
  <si>
    <t>Bronze</t>
  </si>
  <si>
    <t>Metallic bronze</t>
  </si>
  <si>
    <t>Copper</t>
  </si>
  <si>
    <t>Metallic copper</t>
  </si>
  <si>
    <t>Bright green-yellow highlight</t>
  </si>
  <si>
    <t>Middlestone</t>
  </si>
  <si>
    <t>British WWII desert color</t>
  </si>
  <si>
    <t>Silver Grey</t>
  </si>
  <si>
    <t>Cool light grey</t>
  </si>
  <si>
    <t>Warm light grey</t>
  </si>
  <si>
    <t>Pastel Green</t>
  </si>
  <si>
    <t>Soft pastel green</t>
  </si>
  <si>
    <t>Olive Drab</t>
  </si>
  <si>
    <t>US WWII olive drab</t>
  </si>
  <si>
    <t>Olive Grey</t>
  </si>
  <si>
    <t>Muted olive grey</t>
  </si>
  <si>
    <t>Olive Brown</t>
  </si>
  <si>
    <t>Bruin/Groen</t>
  </si>
  <si>
    <t>Dark olive brown</t>
  </si>
  <si>
    <t>Reflective Green</t>
  </si>
  <si>
    <t>Bright military green</t>
  </si>
  <si>
    <t>Intermediate Green</t>
  </si>
  <si>
    <t>Mid green</t>
  </si>
  <si>
    <t>Yellow Olive</t>
  </si>
  <si>
    <t>Yellow‑olive tone</t>
  </si>
  <si>
    <t>US military dark green</t>
  </si>
  <si>
    <t>Russian Green</t>
  </si>
  <si>
    <t>Russian armor green</t>
  </si>
  <si>
    <t>Dark blue‑green</t>
  </si>
  <si>
    <t>German Camo Extra Dark Green</t>
  </si>
  <si>
    <t>Very dark camo green</t>
  </si>
  <si>
    <t>Dark bronze‑green</t>
  </si>
  <si>
    <t>Dark Sea Blue</t>
  </si>
  <si>
    <t>Blauw Donker</t>
  </si>
  <si>
    <t>Marine dark blue</t>
  </si>
  <si>
    <t>Dark Prussian Blue</t>
  </si>
  <si>
    <t>Very dark Prussian blue</t>
  </si>
  <si>
    <t>French Mirage Blue</t>
  </si>
  <si>
    <t>French Air Force blue</t>
  </si>
  <si>
    <t>Pastel Blue</t>
  </si>
  <si>
    <t>Soft pastel blue</t>
  </si>
  <si>
    <t>Azure</t>
  </si>
  <si>
    <t>Bright sky blue</t>
  </si>
  <si>
    <t>Intermediate Blue</t>
  </si>
  <si>
    <t>US Navy WWII blue</t>
  </si>
  <si>
    <t>Dark blue‑grey</t>
  </si>
  <si>
    <t>Blue Grey Pale</t>
  </si>
  <si>
    <t>Pale blue‑grey</t>
  </si>
  <si>
    <t>Pale Blue Grey</t>
  </si>
  <si>
    <t>Very light blue‑grey</t>
  </si>
  <si>
    <t>Pale Grey Blue</t>
  </si>
  <si>
    <t>Cool pale blue‑grey</t>
  </si>
  <si>
    <t>Carmine Red</t>
  </si>
  <si>
    <t>Deep carmine red</t>
  </si>
  <si>
    <t>Vermillion</t>
  </si>
  <si>
    <t>Warm red‑orange</t>
  </si>
  <si>
    <t>Orange Red</t>
  </si>
  <si>
    <t>Rood/Oranje</t>
  </si>
  <si>
    <t>Bright orange‑red</t>
  </si>
  <si>
    <t>Light Orange</t>
  </si>
  <si>
    <t>Oranje</t>
  </si>
  <si>
    <t>Light orange tone</t>
  </si>
  <si>
    <t>Tan Yellow</t>
  </si>
  <si>
    <t>Muted sand yellow</t>
  </si>
  <si>
    <t>Oker</t>
  </si>
  <si>
    <t>Classic ochre</t>
  </si>
  <si>
    <t>Oker/Groen</t>
  </si>
  <si>
    <t>Yellow‑green ochre</t>
  </si>
  <si>
    <t>Deep Yellow</t>
  </si>
  <si>
    <t>Deep warm yellow</t>
  </si>
  <si>
    <t>Sand Yellow</t>
  </si>
  <si>
    <t>Sand yellow</t>
  </si>
  <si>
    <t>Neutral beige</t>
  </si>
  <si>
    <t>Ivory</t>
  </si>
  <si>
    <t>Wit/Beige</t>
  </si>
  <si>
    <t>Ivory white</t>
  </si>
  <si>
    <t>Foundation White</t>
  </si>
  <si>
    <t>High‑pigment white</t>
  </si>
  <si>
    <t>German Uniform</t>
  </si>
  <si>
    <t>WWII field grey</t>
  </si>
  <si>
    <t>British WWII uniform</t>
  </si>
  <si>
    <t>Dark uniform green</t>
  </si>
  <si>
    <t>Bruin/Geel</t>
  </si>
  <si>
    <t>Japanese WWII uniform</t>
  </si>
  <si>
    <t>Soviet uniform green</t>
  </si>
  <si>
    <t>Intense Blue</t>
  </si>
  <si>
    <t>Very bright blue</t>
  </si>
  <si>
    <t>Red</t>
  </si>
  <si>
    <t>Deep red</t>
  </si>
  <si>
    <t>Dark Flesh</t>
  </si>
  <si>
    <t>Dark flesh tone</t>
  </si>
  <si>
    <t>Light Flesh</t>
  </si>
  <si>
    <t>Light flesh tone</t>
  </si>
  <si>
    <t>Light Brown</t>
  </si>
  <si>
    <t>Light brown</t>
  </si>
  <si>
    <t>Dark Blue</t>
  </si>
  <si>
    <t>Dark blue</t>
  </si>
  <si>
    <t>Pale sand</t>
  </si>
  <si>
    <t>Dark violet</t>
  </si>
  <si>
    <t>Dark yellow variant</t>
  </si>
  <si>
    <t>Transparent Green</t>
  </si>
  <si>
    <t>Transparant</t>
  </si>
  <si>
    <t>Transparent green</t>
  </si>
  <si>
    <t>Transparent Blue</t>
  </si>
  <si>
    <t>Transparent blue</t>
  </si>
  <si>
    <t>Transparent Red</t>
  </si>
  <si>
    <t>Transparent red</t>
  </si>
  <si>
    <t>Transparent Yellow</t>
  </si>
  <si>
    <t>Transparent yellow</t>
  </si>
  <si>
    <t>Transparent Orange</t>
  </si>
  <si>
    <t>Smoke</t>
  </si>
  <si>
    <t>Smoke effect</t>
  </si>
  <si>
    <t>Matt Medium</t>
  </si>
  <si>
    <t>Medium</t>
  </si>
  <si>
    <t>Matte medium</t>
  </si>
  <si>
    <t>Gloss Medium</t>
  </si>
  <si>
    <t>Gloss medium</t>
  </si>
  <si>
    <t>Satin Medium</t>
  </si>
  <si>
    <t>Satin medium</t>
  </si>
  <si>
    <t>Acrylic thinner</t>
  </si>
  <si>
    <t>Glaze Medium</t>
  </si>
  <si>
    <t>Glazing medium</t>
  </si>
  <si>
    <t>Airbrush Thinner</t>
  </si>
  <si>
    <t>Airbrush thinner</t>
  </si>
  <si>
    <t>Airbrush Flow Improver</t>
  </si>
  <si>
    <t>Additive</t>
  </si>
  <si>
    <t>Improves flow</t>
  </si>
  <si>
    <t>Liquid Mask</t>
  </si>
  <si>
    <t>Special</t>
  </si>
  <si>
    <t>Masking fluid</t>
  </si>
  <si>
    <t>Retarder Medium</t>
  </si>
  <si>
    <t>Slows drying</t>
  </si>
  <si>
    <t>Drying Retarder</t>
  </si>
  <si>
    <t>Blending retarder</t>
  </si>
  <si>
    <t>Matt Medium (Thick)</t>
  </si>
  <si>
    <t>Thick matte medium</t>
  </si>
  <si>
    <t>Satin Varnish</t>
  </si>
  <si>
    <t>Varnish</t>
  </si>
  <si>
    <t>Satin varnish</t>
  </si>
  <si>
    <t>Gloss Varnish</t>
  </si>
  <si>
    <t>Gloss varnish</t>
  </si>
  <si>
    <t>Matte varnish</t>
  </si>
  <si>
    <t>White Glaze</t>
  </si>
  <si>
    <t>Transparent white glaze</t>
  </si>
  <si>
    <t>Black Glaze</t>
  </si>
  <si>
    <t>Transparent black glaze</t>
  </si>
  <si>
    <t>70.901 - sky blue</t>
  </si>
  <si>
    <t>Offwhite</t>
  </si>
  <si>
    <t>Tan Earth US Field Drab BC Dark Brown Leather Brown Cam. Black Brown Sand Yellow Desert Yellow Mustard Brown New Wood Beige Brown Cream White Pale Sand Ice Yellow Light Yellow Lemon Yellow Deep Yellow Flat Yellow Golden Yellow Light Orange Bright Orange</t>
  </si>
  <si>
    <t>Black Red</t>
  </si>
  <si>
    <t>BC Dark Brown</t>
  </si>
  <si>
    <t>Flat Earth Pale Brown Saddle Brown Mahogany Brown Flat Brown Dark Rust Yellow Ochre Gold Brown Ochre Brown Orange Brown Clear Orange Vermilion Carmine Red Red Faded Red Amaranth Red Scarlet Dark Vermilion Flat Red Dark Red</t>
  </si>
  <si>
    <t>Blue</t>
  </si>
  <si>
    <t>Infantry Blue</t>
  </si>
  <si>
    <t>Cam. Black Brown</t>
  </si>
  <si>
    <t>Sky Blue</t>
  </si>
  <si>
    <t>Ochre Brown</t>
  </si>
  <si>
    <t>Cam. Dark Green</t>
  </si>
  <si>
    <t>Red Leather</t>
  </si>
  <si>
    <t>Medium Olive</t>
  </si>
  <si>
    <t>Ger. Fieldgrey WWII</t>
  </si>
  <si>
    <t>Turquoise Dark Sea Blue Continental Blue Light Emerald Emerald Green Sky Splinter Green Park Green Flat Deep Green Black Green</t>
  </si>
  <si>
    <t>Light Mud</t>
  </si>
  <si>
    <t>Cam. Olive Green</t>
  </si>
  <si>
    <t>Medium Sea Grey</t>
  </si>
  <si>
    <t>Violet Grey</t>
  </si>
  <si>
    <t>Lime Green Olive Green Uniform Green Medium Olive Luftwaffe Green Military Green Pastel Green Green Grey Ger. Fieldgrey WWIIGerman Tank Crew</t>
  </si>
  <si>
    <t>Basalt Grey</t>
  </si>
  <si>
    <t>German Yellow</t>
  </si>
  <si>
    <t>Gloss Black</t>
  </si>
  <si>
    <t>Stone Grey Medium Grey Germ. Beige WWII Khaki Grey Brown Canvas Cam. Middle BrownBurnt Umber German Yellow Dark Yellow Due to the printing process</t>
  </si>
  <si>
    <t>en formato de</t>
  </si>
  <si>
    <t>und Satin Varnish</t>
  </si>
  <si>
    <t>et le Satin Varnish</t>
  </si>
  <si>
    <t>and Satin Varnish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</si>
</sst>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Aptos Narrow"/>
      <family val="2"/>
      <scheme val="minor"/>
    </font>
    <font>
      <sz val="14"/>
      <color rgb="FF313B4E"/>
      <name val="Lato"/>
    </font>
    <font>
      <sz val="14"/>
      <color theme="1"/>
      <name val="Aptos Narrow"/>
      <family val="2"/>
      <scheme val="minor"/>
    </font>
    <font>
      <b/>
      <sz val="14"/>
      <color theme="1"/>
      <name val="Aptos Narrow"/>
      <scheme val="minor"/>
    </font>
    <font>
      <sz val="14"/>
      <color rgb="FFFF0000"/>
      <name val="Lato"/>
    </font>
    <font>
      <sz val="8"/>
      <name val="Aptos Narrow"/>
      <family val="2"/>
      <scheme val="minor"/>
    </font>
    <font>
      <sz val="13"/>
      <color rgb="FF000000"/>
      <name val="Arial"/>
      <family val="2"/>
    </font>
    <font>
      <sz val="14"/>
      <color rgb="FF313B4E"/>
      <name val="Aptos Narrow"/>
      <scheme val="minor"/>
    </font>
    <font>
      <sz val="16"/>
      <color rgb="FF333333"/>
      <name val="Helvetica"/>
      <family val="2"/>
    </font>
    <font>
      <sz val="14"/>
      <color rgb="FF121212"/>
      <name val="Arial"/>
      <family val="2"/>
    </font>
    <font>
      <sz val="14"/>
      <color rgb="FF2E2C39"/>
      <name val="Inherit"/>
    </font>
    <font>
      <sz val="14"/>
      <color rgb="FF313B4E"/>
      <name val="Lato"/>
      <charset val="1"/>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3" fillId="0" borderId="0" xfId="0" applyFont="1"/>
    <xf numFmtId="39" fontId="3" fillId="0" borderId="0" xfId="0" applyNumberFormat="1" applyFont="1" applyAlignment="1">
      <alignment horizontal="center"/>
    </xf>
    <xf numFmtId="39" fontId="1" fillId="0" borderId="0" xfId="0" applyNumberFormat="1" applyFont="1"/>
    <xf numFmtId="39" fontId="2" fillId="0" borderId="0" xfId="0" applyNumberFormat="1" applyFont="1" applyAlignment="1">
      <alignment horizontal="center"/>
    </xf>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1" fillId="0" borderId="0" xfId="0" applyFont="1"/>
    <xf numFmtId="0" fontId="1" fillId="0" borderId="0" xfId="0" applyFont="1" applyAlignment="1">
      <alignment horizontal="left"/>
    </xf>
    <xf numFmtId="3" fontId="0" fillId="0" borderId="0" xfId="0" applyNumberFormat="1"/>
    <xf numFmtId="3" fontId="1" fillId="0" borderId="0" xfId="0" applyNumberFormat="1" applyFont="1" applyAlignment="1">
      <alignment horizontal="left"/>
    </xf>
    <xf numFmtId="0" fontId="0" fillId="0" borderId="0" xfId="0" applyNumberFormat="1"/>
  </cellXfs>
  <cellStyles count="1">
    <cellStyle name="Standaard" xfId="0" builtinId="0"/>
  </cellStyles>
  <dxfs count="31">
    <dxf>
      <numFmt numFmtId="0" formatCode="Genera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27F6CAB-3AF6-6F40-A138-E15CBAAD2F0D}" autoFormatId="16" applyNumberFormats="0" applyBorderFormats="0" applyFontFormats="0" applyPatternFormats="0" applyAlignmentFormats="0" applyWidthHeightFormats="0">
  <queryTableRefresh nextId="3">
    <queryTableFields count="2">
      <queryTableField id="1" name="Number" tableColumnId="1"/>
      <queryTableField id="2" name="Name"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93ED3D-A3F2-164E-8BDE-C2342F4FE6AE}" name="vallejo_model_color_latest" displayName="vallejo_model_color_latest" ref="A1:B101" tableType="queryTable" totalsRowShown="0">
  <autoFilter ref="A1:B101" xr:uid="{7893ED3D-A3F2-164E-8BDE-C2342F4FE6AE}"/>
  <tableColumns count="2">
    <tableColumn id="1" xr3:uid="{EA1B4DEA-C08E-7141-9C76-EC8C0759FD36}" uniqueName="1" name="Number" queryTableFieldId="1"/>
    <tableColumn id="2" xr3:uid="{54161119-B490-1845-8108-7A3169A4B263}" uniqueName="2" name="Name" queryTableFieldId="2" dataDxfId="0"/>
  </tableColumns>
  <tableStyleInfo name="TableStyleMedium7"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169D5-4E35-3F43-A8A5-FC986D1FF31B}">
  <sheetPr codeName="Blad1"/>
  <dimension ref="A1:E129"/>
  <sheetViews>
    <sheetView topLeftCell="A89" workbookViewId="0">
      <selection activeCell="B107" sqref="B107"/>
    </sheetView>
  </sheetViews>
  <sheetFormatPr baseColWidth="10" defaultColWidth="18.1640625" defaultRowHeight="19"/>
  <cols>
    <col min="1" max="1" width="9" style="5" bestFit="1" customWidth="1"/>
    <col min="2" max="2" width="41.5" bestFit="1" customWidth="1"/>
    <col min="3" max="3" width="48.1640625" bestFit="1" customWidth="1"/>
    <col min="4" max="4" width="119.5" bestFit="1" customWidth="1"/>
  </cols>
  <sheetData>
    <row r="1" spans="1:4">
      <c r="A1" s="3" t="s">
        <v>77</v>
      </c>
      <c r="B1" s="2" t="s">
        <v>78</v>
      </c>
      <c r="C1" s="2" t="s">
        <v>79</v>
      </c>
    </row>
    <row r="2" spans="1:4" s="2" customFormat="1">
      <c r="A2" s="4" t="str">
        <f t="shared" ref="A2:A65" si="0">LEFT(C2,6)</f>
        <v>70.520</v>
      </c>
      <c r="B2" s="1" t="str">
        <f t="shared" ref="B2:B65" si="1">MID(C2,8,999)</f>
        <v>Matt Varnish</v>
      </c>
      <c r="C2" s="1" t="s">
        <v>75</v>
      </c>
      <c r="D2" s="8" t="s">
        <v>165</v>
      </c>
    </row>
    <row r="3" spans="1:4">
      <c r="A3" s="4" t="str">
        <f t="shared" si="0"/>
        <v>70.524</v>
      </c>
      <c r="B3" s="1" t="str">
        <f t="shared" si="1"/>
        <v>Thinner Medium</v>
      </c>
      <c r="C3" s="1" t="s">
        <v>76</v>
      </c>
      <c r="D3" s="8" t="s">
        <v>165</v>
      </c>
    </row>
    <row r="4" spans="1:4">
      <c r="A4" s="4" t="str">
        <f t="shared" si="0"/>
        <v>70.740</v>
      </c>
      <c r="B4" s="1" t="str">
        <f t="shared" si="1"/>
        <v>Camouflage Middle Brown</v>
      </c>
      <c r="C4" s="1" t="s">
        <v>32</v>
      </c>
      <c r="D4" s="8" t="s">
        <v>165</v>
      </c>
    </row>
    <row r="5" spans="1:4">
      <c r="A5" s="4" t="str">
        <f t="shared" si="0"/>
        <v>70.741</v>
      </c>
      <c r="B5" s="1" t="str">
        <f t="shared" si="1"/>
        <v>Camouflage Black Green</v>
      </c>
      <c r="C5" s="1" t="s">
        <v>27</v>
      </c>
      <c r="D5" s="8" t="s">
        <v>165</v>
      </c>
    </row>
    <row r="6" spans="1:4">
      <c r="A6" s="4" t="str">
        <f t="shared" si="0"/>
        <v>70.754</v>
      </c>
      <c r="B6" s="1" t="str">
        <f t="shared" si="1"/>
        <v>Continental Blue</v>
      </c>
      <c r="C6" s="1" t="s">
        <v>7</v>
      </c>
      <c r="D6" s="8" t="s">
        <v>165</v>
      </c>
    </row>
    <row r="7" spans="1:4">
      <c r="A7" s="4" t="str">
        <f t="shared" si="0"/>
        <v>70.756</v>
      </c>
      <c r="B7" s="1" t="str">
        <f t="shared" si="1"/>
        <v>Splinter Green</v>
      </c>
      <c r="C7" s="1" t="s">
        <v>8</v>
      </c>
      <c r="D7" s="8" t="s">
        <v>165</v>
      </c>
    </row>
    <row r="8" spans="1:4">
      <c r="A8" s="4" t="str">
        <f t="shared" si="0"/>
        <v>70.757</v>
      </c>
      <c r="B8" s="1" t="str">
        <f t="shared" si="1"/>
        <v>Pacific Green</v>
      </c>
      <c r="C8" s="1" t="s">
        <v>10</v>
      </c>
      <c r="D8" s="8" t="s">
        <v>165</v>
      </c>
    </row>
    <row r="9" spans="1:4">
      <c r="A9" s="4" t="str">
        <f t="shared" si="0"/>
        <v>70.758</v>
      </c>
      <c r="B9" s="1" t="str">
        <f t="shared" si="1"/>
        <v>Bright Green</v>
      </c>
      <c r="C9" s="1" t="s">
        <v>13</v>
      </c>
      <c r="D9" s="8" t="s">
        <v>165</v>
      </c>
    </row>
    <row r="10" spans="1:4">
      <c r="A10" s="4" t="str">
        <f t="shared" si="0"/>
        <v>70.759</v>
      </c>
      <c r="B10" s="1" t="str">
        <f t="shared" si="1"/>
        <v>German Tank Crew</v>
      </c>
      <c r="C10" s="1" t="s">
        <v>21</v>
      </c>
      <c r="D10" s="8" t="s">
        <v>165</v>
      </c>
    </row>
    <row r="11" spans="1:4">
      <c r="A11" s="4" t="str">
        <f t="shared" si="0"/>
        <v>70.761</v>
      </c>
      <c r="B11" s="1" t="str">
        <f t="shared" si="1"/>
        <v>Old Wood</v>
      </c>
      <c r="C11" s="1" t="s">
        <v>45</v>
      </c>
      <c r="D11" s="8" t="s">
        <v>165</v>
      </c>
    </row>
    <row r="12" spans="1:4">
      <c r="A12" s="4" t="str">
        <f t="shared" si="0"/>
        <v>70.762</v>
      </c>
      <c r="B12" s="1" t="str">
        <f t="shared" si="1"/>
        <v>Grey Brown</v>
      </c>
      <c r="C12" s="1" t="s">
        <v>30</v>
      </c>
      <c r="D12" s="8" t="s">
        <v>165</v>
      </c>
    </row>
    <row r="13" spans="1:4">
      <c r="A13" s="4" t="str">
        <f t="shared" si="0"/>
        <v>70.763</v>
      </c>
      <c r="B13" s="1" t="str">
        <f t="shared" si="1"/>
        <v>Canvas</v>
      </c>
      <c r="C13" s="1" t="s">
        <v>31</v>
      </c>
      <c r="D13" s="8" t="s">
        <v>165</v>
      </c>
    </row>
    <row r="14" spans="1:4">
      <c r="A14" s="4" t="str">
        <f t="shared" si="0"/>
        <v>70.764</v>
      </c>
      <c r="B14" s="1" t="str">
        <f t="shared" si="1"/>
        <v>Military Yellow</v>
      </c>
      <c r="C14" s="1" t="s">
        <v>37</v>
      </c>
      <c r="D14" s="8" t="s">
        <v>165</v>
      </c>
    </row>
    <row r="15" spans="1:4">
      <c r="A15" s="4" t="str">
        <f t="shared" si="0"/>
        <v>70.765</v>
      </c>
      <c r="B15" s="1" t="str">
        <f t="shared" si="1"/>
        <v>Desert Tan</v>
      </c>
      <c r="C15" s="1" t="s">
        <v>46</v>
      </c>
      <c r="D15" s="8" t="s">
        <v>165</v>
      </c>
    </row>
    <row r="16" spans="1:4">
      <c r="A16" s="4" t="str">
        <f t="shared" si="0"/>
        <v>70.766</v>
      </c>
      <c r="B16" s="1" t="str">
        <f t="shared" si="1"/>
        <v>Cream White</v>
      </c>
      <c r="C16" s="1" t="s">
        <v>2</v>
      </c>
      <c r="D16" s="8" t="s">
        <v>165</v>
      </c>
    </row>
    <row r="17" spans="1:4">
      <c r="A17" s="4" t="str">
        <f t="shared" si="0"/>
        <v>70.767</v>
      </c>
      <c r="B17" s="1" t="str">
        <f t="shared" si="1"/>
        <v>Desert Brown</v>
      </c>
      <c r="C17" s="1" t="s">
        <v>44</v>
      </c>
      <c r="D17" s="8" t="s">
        <v>165</v>
      </c>
    </row>
    <row r="18" spans="1:4">
      <c r="A18" s="4" t="str">
        <f t="shared" si="0"/>
        <v>70.769</v>
      </c>
      <c r="B18" s="1" t="str">
        <f t="shared" si="1"/>
        <v>Mustard Brown</v>
      </c>
      <c r="C18" s="1" t="s">
        <v>52</v>
      </c>
      <c r="D18" s="8" t="s">
        <v>165</v>
      </c>
    </row>
    <row r="19" spans="1:4">
      <c r="A19" s="4" t="str">
        <f t="shared" si="0"/>
        <v>70.772</v>
      </c>
      <c r="B19" s="1" t="str">
        <f t="shared" si="1"/>
        <v>Medium Grey Blue</v>
      </c>
      <c r="C19" s="1" t="s">
        <v>65</v>
      </c>
      <c r="D19" s="8" t="s">
        <v>165</v>
      </c>
    </row>
    <row r="20" spans="1:4">
      <c r="A20" s="4" t="str">
        <f t="shared" si="0"/>
        <v>70.801</v>
      </c>
      <c r="B20" s="1" t="str">
        <f t="shared" si="1"/>
        <v>Brass</v>
      </c>
      <c r="C20" s="1" t="s">
        <v>74</v>
      </c>
      <c r="D20" s="8" t="s">
        <v>165</v>
      </c>
    </row>
    <row r="21" spans="1:4">
      <c r="A21" s="4" t="str">
        <f t="shared" si="0"/>
        <v>70.814</v>
      </c>
      <c r="B21" s="1" t="str">
        <f t="shared" si="1"/>
        <v>Burnt Red</v>
      </c>
      <c r="C21" s="1" t="s">
        <v>60</v>
      </c>
      <c r="D21" s="8" t="s">
        <v>165</v>
      </c>
    </row>
    <row r="22" spans="1:4">
      <c r="A22" s="4" t="str">
        <f t="shared" si="0"/>
        <v>70.816</v>
      </c>
      <c r="B22" s="1" t="str">
        <f t="shared" si="1"/>
        <v>Luftwaffe Uniform</v>
      </c>
      <c r="C22" s="1" t="s">
        <v>66</v>
      </c>
      <c r="D22" s="8" t="s">
        <v>165</v>
      </c>
    </row>
    <row r="23" spans="1:4">
      <c r="A23" s="4" t="str">
        <f t="shared" si="0"/>
        <v>70.821</v>
      </c>
      <c r="B23" s="1" t="str">
        <f t="shared" si="1"/>
        <v>German Beige WWII</v>
      </c>
      <c r="C23" s="1" t="s">
        <v>28</v>
      </c>
      <c r="D23" s="8" t="s">
        <v>165</v>
      </c>
    </row>
    <row r="24" spans="1:4">
      <c r="A24" s="4" t="str">
        <f t="shared" si="0"/>
        <v>70.822</v>
      </c>
      <c r="B24" s="1" t="str">
        <f t="shared" si="1"/>
        <v>Camouflage Black Brown</v>
      </c>
      <c r="C24" s="1" t="s">
        <v>50</v>
      </c>
      <c r="D24" s="8" t="s">
        <v>165</v>
      </c>
    </row>
    <row r="25" spans="1:4">
      <c r="A25" s="4" t="str">
        <f t="shared" si="0"/>
        <v>70.823</v>
      </c>
      <c r="B25" s="1" t="str">
        <f t="shared" si="1"/>
        <v>Luftwaffe Green</v>
      </c>
      <c r="C25" s="1" t="s">
        <v>17</v>
      </c>
      <c r="D25" s="8" t="s">
        <v>165</v>
      </c>
    </row>
    <row r="26" spans="1:4">
      <c r="A26" s="4" t="str">
        <f t="shared" si="0"/>
        <v>70.830</v>
      </c>
      <c r="B26" s="1" t="str">
        <f t="shared" si="1"/>
        <v>German Fieldgrey WWII</v>
      </c>
      <c r="C26" s="1" t="s">
        <v>20</v>
      </c>
      <c r="D26" s="8" t="s">
        <v>165</v>
      </c>
    </row>
    <row r="27" spans="1:4">
      <c r="A27" s="4" t="str">
        <f t="shared" si="0"/>
        <v>70.837</v>
      </c>
      <c r="B27" s="1" t="str">
        <f t="shared" si="1"/>
        <v>Pale Sand</v>
      </c>
      <c r="C27" s="1" t="s">
        <v>3</v>
      </c>
      <c r="D27" s="8" t="s">
        <v>165</v>
      </c>
    </row>
    <row r="28" spans="1:4">
      <c r="A28" s="4" t="str">
        <f t="shared" si="0"/>
        <v>70.846</v>
      </c>
      <c r="B28" s="1" t="str">
        <f t="shared" si="1"/>
        <v>Mahogany Brown</v>
      </c>
      <c r="C28" s="1" t="s">
        <v>56</v>
      </c>
      <c r="D28" s="8" t="s">
        <v>165</v>
      </c>
    </row>
    <row r="29" spans="1:4">
      <c r="A29" s="4" t="str">
        <f t="shared" si="0"/>
        <v>70.847</v>
      </c>
      <c r="B29" s="1" t="str">
        <f t="shared" si="1"/>
        <v>Dark Sand</v>
      </c>
      <c r="C29" s="1" t="s">
        <v>43</v>
      </c>
      <c r="D29" s="8" t="s">
        <v>165</v>
      </c>
    </row>
    <row r="30" spans="1:4">
      <c r="A30" s="4" t="str">
        <f t="shared" si="0"/>
        <v>70.863</v>
      </c>
      <c r="B30" s="1" t="str">
        <f t="shared" si="1"/>
        <v>Gunmetal</v>
      </c>
      <c r="C30" s="1" t="s">
        <v>73</v>
      </c>
      <c r="D30" s="8" t="s">
        <v>165</v>
      </c>
    </row>
    <row r="31" spans="1:4">
      <c r="A31" s="4" t="str">
        <f t="shared" si="0"/>
        <v>70.866</v>
      </c>
      <c r="B31" s="1" t="str">
        <f t="shared" si="1"/>
        <v>Grey Green</v>
      </c>
      <c r="C31" s="1" t="s">
        <v>68</v>
      </c>
      <c r="D31" s="8" t="s">
        <v>165</v>
      </c>
    </row>
    <row r="32" spans="1:4">
      <c r="A32" s="4" t="str">
        <f t="shared" si="0"/>
        <v>70.867</v>
      </c>
      <c r="B32" s="1" t="str">
        <f t="shared" si="1"/>
        <v>Dark Blue Grey</v>
      </c>
      <c r="C32" s="1" t="s">
        <v>67</v>
      </c>
      <c r="D32" s="8" t="s">
        <v>165</v>
      </c>
    </row>
    <row r="33" spans="1:4">
      <c r="A33" s="4" t="str">
        <f t="shared" si="0"/>
        <v>70.868</v>
      </c>
      <c r="B33" s="1" t="str">
        <f t="shared" si="1"/>
        <v>Dark Sea Green</v>
      </c>
      <c r="C33" s="1" t="s">
        <v>69</v>
      </c>
      <c r="D33" s="8" t="s">
        <v>165</v>
      </c>
    </row>
    <row r="34" spans="1:4">
      <c r="A34" s="4" t="str">
        <f t="shared" si="0"/>
        <v>70.871</v>
      </c>
      <c r="B34" s="1" t="str">
        <f t="shared" si="1"/>
        <v>Leather Brown</v>
      </c>
      <c r="C34" s="1" t="s">
        <v>49</v>
      </c>
      <c r="D34" s="8" t="s">
        <v>165</v>
      </c>
    </row>
    <row r="35" spans="1:4">
      <c r="A35" s="4" t="str">
        <f t="shared" si="0"/>
        <v>70.873</v>
      </c>
      <c r="B35" s="1" t="str">
        <f t="shared" si="1"/>
        <v>US Field Drab</v>
      </c>
      <c r="C35" s="1" t="s">
        <v>48</v>
      </c>
      <c r="D35" s="8" t="s">
        <v>165</v>
      </c>
    </row>
    <row r="36" spans="1:4">
      <c r="A36" s="4" t="str">
        <f t="shared" si="0"/>
        <v>70.874</v>
      </c>
      <c r="B36" s="1" t="str">
        <f t="shared" si="1"/>
        <v>Tan Earth</v>
      </c>
      <c r="C36" s="1" t="s">
        <v>47</v>
      </c>
      <c r="D36" s="8" t="s">
        <v>165</v>
      </c>
    </row>
    <row r="37" spans="1:4">
      <c r="A37" s="4" t="str">
        <f t="shared" si="0"/>
        <v>70.875</v>
      </c>
      <c r="B37" s="1" t="str">
        <f t="shared" si="1"/>
        <v>Beige Brown</v>
      </c>
      <c r="C37" s="1" t="s">
        <v>53</v>
      </c>
      <c r="D37" s="8" t="s">
        <v>165</v>
      </c>
    </row>
    <row r="38" spans="1:4">
      <c r="A38" s="4" t="str">
        <f t="shared" si="0"/>
        <v>70.879</v>
      </c>
      <c r="B38" s="1" t="str">
        <f t="shared" si="1"/>
        <v>Green Brown</v>
      </c>
      <c r="C38" s="1" t="s">
        <v>39</v>
      </c>
      <c r="D38" s="8" t="s">
        <v>165</v>
      </c>
    </row>
    <row r="39" spans="1:4">
      <c r="A39" s="4" t="str">
        <f t="shared" si="0"/>
        <v>70.880</v>
      </c>
      <c r="B39" s="1" t="str">
        <f t="shared" si="1"/>
        <v>Khaki Grey</v>
      </c>
      <c r="C39" s="1" t="s">
        <v>42</v>
      </c>
      <c r="D39" s="8" t="s">
        <v>165</v>
      </c>
    </row>
    <row r="40" spans="1:4">
      <c r="A40" s="4" t="str">
        <f t="shared" si="0"/>
        <v>70.881</v>
      </c>
      <c r="B40" s="1" t="str">
        <f t="shared" si="1"/>
        <v>Green Yellow</v>
      </c>
      <c r="C40" s="1" t="s">
        <v>34</v>
      </c>
      <c r="D40" s="8" t="s">
        <v>165</v>
      </c>
    </row>
    <row r="41" spans="1:4">
      <c r="A41" s="4" t="str">
        <f t="shared" si="0"/>
        <v>70.886</v>
      </c>
      <c r="B41" s="1" t="str">
        <f t="shared" si="1"/>
        <v>Green Grey</v>
      </c>
      <c r="C41" s="1" t="s">
        <v>19</v>
      </c>
      <c r="D41" s="8" t="s">
        <v>165</v>
      </c>
    </row>
    <row r="42" spans="1:4">
      <c r="A42" s="4" t="str">
        <f t="shared" si="0"/>
        <v>70.887</v>
      </c>
      <c r="B42" s="1" t="str">
        <f t="shared" si="1"/>
        <v>US Olive Drab</v>
      </c>
      <c r="C42" s="1" t="s">
        <v>35</v>
      </c>
      <c r="D42" s="8" t="s">
        <v>165</v>
      </c>
    </row>
    <row r="43" spans="1:4">
      <c r="A43" s="4" t="str">
        <f t="shared" si="0"/>
        <v>70.890</v>
      </c>
      <c r="B43" s="1" t="str">
        <f t="shared" si="1"/>
        <v>Refractive Green</v>
      </c>
      <c r="C43" s="1" t="s">
        <v>25</v>
      </c>
      <c r="D43" s="8" t="s">
        <v>165</v>
      </c>
    </row>
    <row r="44" spans="1:4">
      <c r="A44" s="4" t="str">
        <f t="shared" si="0"/>
        <v>70.893</v>
      </c>
      <c r="B44" s="1" t="str">
        <f t="shared" si="1"/>
        <v>US Dark Green</v>
      </c>
      <c r="C44" s="1" t="s">
        <v>24</v>
      </c>
      <c r="D44" s="8" t="s">
        <v>165</v>
      </c>
    </row>
    <row r="45" spans="1:4">
      <c r="A45" s="4" t="str">
        <f t="shared" si="0"/>
        <v>70.894</v>
      </c>
      <c r="B45" s="1" t="str">
        <f t="shared" si="1"/>
        <v>Camouflage Olive Green</v>
      </c>
      <c r="C45" s="1" t="s">
        <v>26</v>
      </c>
      <c r="D45" s="8" t="s">
        <v>165</v>
      </c>
    </row>
    <row r="46" spans="1:4">
      <c r="A46" s="4" t="str">
        <f t="shared" si="0"/>
        <v>70.895</v>
      </c>
      <c r="B46" s="1" t="str">
        <f t="shared" si="1"/>
        <v>Gunship Green</v>
      </c>
      <c r="C46" s="1" t="s">
        <v>11</v>
      </c>
      <c r="D46" s="8" t="s">
        <v>165</v>
      </c>
    </row>
    <row r="47" spans="1:4">
      <c r="A47" s="4" t="str">
        <f t="shared" si="0"/>
        <v>70.896</v>
      </c>
      <c r="B47" s="1" t="str">
        <f t="shared" si="1"/>
        <v>Extra Dark Green</v>
      </c>
      <c r="C47" s="1" t="s">
        <v>22</v>
      </c>
      <c r="D47" s="8" t="s">
        <v>165</v>
      </c>
    </row>
    <row r="48" spans="1:4">
      <c r="A48" s="4" t="str">
        <f t="shared" si="0"/>
        <v>70.897</v>
      </c>
      <c r="B48" s="1" t="str">
        <f t="shared" si="1"/>
        <v>Bronze Green</v>
      </c>
      <c r="C48" s="1" t="s">
        <v>12</v>
      </c>
      <c r="D48" s="8" t="s">
        <v>165</v>
      </c>
    </row>
    <row r="49" spans="1:4">
      <c r="A49" s="4" t="str">
        <f t="shared" si="0"/>
        <v>70.906</v>
      </c>
      <c r="B49" s="1" t="str">
        <f t="shared" si="1"/>
        <v>Pale Blue</v>
      </c>
      <c r="C49" s="1" t="s">
        <v>63</v>
      </c>
      <c r="D49" s="8" t="s">
        <v>165</v>
      </c>
    </row>
    <row r="50" spans="1:4">
      <c r="A50" s="4" t="str">
        <f t="shared" si="0"/>
        <v>70.914</v>
      </c>
      <c r="B50" s="1" t="str">
        <f t="shared" si="1"/>
        <v>Green Ochre</v>
      </c>
      <c r="C50" s="1" t="s">
        <v>41</v>
      </c>
      <c r="D50" s="8" t="s">
        <v>165</v>
      </c>
    </row>
    <row r="51" spans="1:4">
      <c r="A51" s="4" t="str">
        <f t="shared" si="0"/>
        <v>70.921</v>
      </c>
      <c r="B51" s="1" t="str">
        <f t="shared" si="1"/>
        <v>English Uniform</v>
      </c>
      <c r="C51" s="1" t="s">
        <v>40</v>
      </c>
      <c r="D51" s="8" t="s">
        <v>165</v>
      </c>
    </row>
    <row r="52" spans="1:4">
      <c r="A52" s="4" t="str">
        <f t="shared" si="0"/>
        <v>70.922</v>
      </c>
      <c r="B52" s="1" t="str">
        <f t="shared" si="1"/>
        <v>Uniform Green</v>
      </c>
      <c r="C52" s="1" t="s">
        <v>16</v>
      </c>
      <c r="D52" s="8" t="s">
        <v>165</v>
      </c>
    </row>
    <row r="53" spans="1:4">
      <c r="A53" s="4" t="str">
        <f t="shared" si="0"/>
        <v>70.923</v>
      </c>
      <c r="B53" s="1" t="str">
        <f t="shared" si="1"/>
        <v>Japanese Uniform WWII</v>
      </c>
      <c r="C53" s="1" t="s">
        <v>38</v>
      </c>
      <c r="D53" s="8" t="s">
        <v>165</v>
      </c>
    </row>
    <row r="54" spans="1:4">
      <c r="A54" s="4" t="str">
        <f t="shared" si="0"/>
        <v>70.924</v>
      </c>
      <c r="B54" s="1" t="str">
        <f t="shared" si="1"/>
        <v>Russian Uniform WWII</v>
      </c>
      <c r="C54" s="1" t="s">
        <v>23</v>
      </c>
      <c r="D54" s="8" t="s">
        <v>165</v>
      </c>
    </row>
    <row r="55" spans="1:4">
      <c r="A55" s="4" t="str">
        <f t="shared" si="0"/>
        <v>70.940</v>
      </c>
      <c r="B55" s="1" t="str">
        <f t="shared" si="1"/>
        <v>Saddle Brown</v>
      </c>
      <c r="C55" s="1" t="s">
        <v>55</v>
      </c>
      <c r="D55" s="8" t="s">
        <v>165</v>
      </c>
    </row>
    <row r="56" spans="1:4">
      <c r="A56" s="4" t="str">
        <f t="shared" si="0"/>
        <v>70.941</v>
      </c>
      <c r="B56" s="1" t="str">
        <f t="shared" si="1"/>
        <v>Burnt Umber</v>
      </c>
      <c r="C56" s="1" t="s">
        <v>33</v>
      </c>
      <c r="D56" s="8" t="s">
        <v>165</v>
      </c>
    </row>
    <row r="57" spans="1:4">
      <c r="A57" s="4" t="str">
        <f t="shared" si="0"/>
        <v>70.947</v>
      </c>
      <c r="B57" s="1" t="str">
        <f t="shared" si="1"/>
        <v>Dark Vermilion</v>
      </c>
      <c r="C57" s="1" t="s">
        <v>5</v>
      </c>
      <c r="D57" s="8" t="s">
        <v>165</v>
      </c>
    </row>
    <row r="58" spans="1:4">
      <c r="A58" s="4" t="str">
        <f t="shared" si="0"/>
        <v>70.950</v>
      </c>
      <c r="B58" s="1" t="str">
        <f t="shared" si="1"/>
        <v>Black</v>
      </c>
      <c r="C58" s="1" t="s">
        <v>71</v>
      </c>
      <c r="D58" s="8" t="s">
        <v>165</v>
      </c>
    </row>
    <row r="59" spans="1:4">
      <c r="A59" s="4" t="str">
        <f t="shared" si="0"/>
        <v>70.951</v>
      </c>
      <c r="B59" s="1" t="str">
        <f t="shared" si="1"/>
        <v>White</v>
      </c>
      <c r="C59" s="1" t="s">
        <v>0</v>
      </c>
      <c r="D59" s="8" t="s">
        <v>165</v>
      </c>
    </row>
    <row r="60" spans="1:4">
      <c r="A60" s="4" t="str">
        <f t="shared" si="0"/>
        <v>70.953</v>
      </c>
      <c r="B60" s="1" t="str">
        <f t="shared" si="1"/>
        <v>Flat Yellow</v>
      </c>
      <c r="C60" s="1" t="s">
        <v>4</v>
      </c>
      <c r="D60" s="8" t="s">
        <v>165</v>
      </c>
    </row>
    <row r="61" spans="1:4">
      <c r="A61" s="4" t="str">
        <f t="shared" si="0"/>
        <v>70.955</v>
      </c>
      <c r="B61" s="1" t="str">
        <f t="shared" si="1"/>
        <v>Flat Flesh</v>
      </c>
      <c r="C61" s="1" t="s">
        <v>1</v>
      </c>
      <c r="D61" s="8" t="s">
        <v>165</v>
      </c>
    </row>
    <row r="62" spans="1:4">
      <c r="A62" s="4" t="str">
        <f t="shared" si="0"/>
        <v>70.965</v>
      </c>
      <c r="B62" s="1" t="str">
        <f t="shared" si="1"/>
        <v>Prussian Blue</v>
      </c>
      <c r="C62" s="1" t="s">
        <v>6</v>
      </c>
      <c r="D62" s="8" t="s">
        <v>165</v>
      </c>
    </row>
    <row r="63" spans="1:4">
      <c r="A63" s="4" t="str">
        <f t="shared" si="0"/>
        <v>70.967</v>
      </c>
      <c r="B63" s="1" t="str">
        <f t="shared" si="1"/>
        <v>Olive Green</v>
      </c>
      <c r="C63" s="1" t="s">
        <v>15</v>
      </c>
      <c r="D63" s="8" t="s">
        <v>165</v>
      </c>
    </row>
    <row r="64" spans="1:4">
      <c r="A64" s="4" t="str">
        <f t="shared" si="0"/>
        <v>70.971</v>
      </c>
      <c r="B64" s="1" t="str">
        <f t="shared" si="1"/>
        <v>Light Green Grey</v>
      </c>
      <c r="C64" s="1" t="s">
        <v>62</v>
      </c>
      <c r="D64" s="8" t="s">
        <v>165</v>
      </c>
    </row>
    <row r="65" spans="1:4">
      <c r="A65" s="4" t="str">
        <f t="shared" si="0"/>
        <v>70.972</v>
      </c>
      <c r="B65" s="1" t="str">
        <f t="shared" si="1"/>
        <v>Light Green Blue</v>
      </c>
      <c r="C65" s="1" t="s">
        <v>64</v>
      </c>
      <c r="D65" s="8" t="s">
        <v>165</v>
      </c>
    </row>
    <row r="66" spans="1:4">
      <c r="A66" s="4" t="str">
        <f t="shared" ref="A66:A116" si="2">LEFT(C66,6)</f>
        <v>70.975</v>
      </c>
      <c r="B66" s="1" t="str">
        <f t="shared" ref="B66:B102" si="3">MID(C66,8,999)</f>
        <v>Military Green</v>
      </c>
      <c r="C66" s="1" t="s">
        <v>18</v>
      </c>
      <c r="D66" s="8" t="s">
        <v>165</v>
      </c>
    </row>
    <row r="67" spans="1:4">
      <c r="A67" s="4" t="str">
        <f t="shared" si="2"/>
        <v>70.976</v>
      </c>
      <c r="B67" s="1" t="str">
        <f t="shared" si="3"/>
        <v>Buff</v>
      </c>
      <c r="C67" s="1" t="s">
        <v>36</v>
      </c>
      <c r="D67" s="8" t="s">
        <v>165</v>
      </c>
    </row>
    <row r="68" spans="1:4">
      <c r="A68" s="4" t="str">
        <f t="shared" si="2"/>
        <v>70.977</v>
      </c>
      <c r="B68" s="1" t="str">
        <f t="shared" si="3"/>
        <v>Desert Yellow</v>
      </c>
      <c r="C68" s="1" t="s">
        <v>51</v>
      </c>
      <c r="D68" s="8" t="s">
        <v>165</v>
      </c>
    </row>
    <row r="69" spans="1:4">
      <c r="A69" s="4" t="str">
        <f t="shared" si="2"/>
        <v>70.979</v>
      </c>
      <c r="B69" s="1" t="str">
        <f t="shared" si="3"/>
        <v>Camouflage Dark Green</v>
      </c>
      <c r="C69" s="1" t="s">
        <v>14</v>
      </c>
      <c r="D69" s="8" t="s">
        <v>165</v>
      </c>
    </row>
    <row r="70" spans="1:4">
      <c r="A70" s="4" t="str">
        <f t="shared" si="2"/>
        <v>70.980</v>
      </c>
      <c r="B70" s="1" t="str">
        <f t="shared" si="3"/>
        <v>Black Green</v>
      </c>
      <c r="C70" s="1" t="s">
        <v>9</v>
      </c>
      <c r="D70" s="8" t="s">
        <v>165</v>
      </c>
    </row>
    <row r="71" spans="1:4">
      <c r="A71" s="4" t="str">
        <f t="shared" si="2"/>
        <v>70.981</v>
      </c>
      <c r="B71" s="1" t="str">
        <f t="shared" si="3"/>
        <v>Orange Brown</v>
      </c>
      <c r="C71" s="1" t="s">
        <v>58</v>
      </c>
      <c r="D71" s="8" t="s">
        <v>165</v>
      </c>
    </row>
    <row r="72" spans="1:4">
      <c r="A72" s="4" t="str">
        <f t="shared" si="2"/>
        <v>70.982</v>
      </c>
      <c r="B72" s="1" t="str">
        <f t="shared" si="3"/>
        <v>Cavalry Brown</v>
      </c>
      <c r="C72" s="1" t="s">
        <v>59</v>
      </c>
      <c r="D72" s="8" t="s">
        <v>165</v>
      </c>
    </row>
    <row r="73" spans="1:4">
      <c r="A73" s="4" t="str">
        <f t="shared" si="2"/>
        <v>70.983</v>
      </c>
      <c r="B73" s="1" t="str">
        <f t="shared" si="3"/>
        <v>Flat Earth</v>
      </c>
      <c r="C73" s="1" t="s">
        <v>54</v>
      </c>
      <c r="D73" s="8" t="s">
        <v>165</v>
      </c>
    </row>
    <row r="74" spans="1:4">
      <c r="A74" s="4" t="str">
        <f t="shared" si="2"/>
        <v>70.984</v>
      </c>
      <c r="B74" s="1" t="str">
        <f t="shared" si="3"/>
        <v>Flat Brown</v>
      </c>
      <c r="C74" s="1" t="s">
        <v>57</v>
      </c>
      <c r="D74" s="8" t="s">
        <v>165</v>
      </c>
    </row>
    <row r="75" spans="1:4">
      <c r="A75" s="4" t="str">
        <f t="shared" si="2"/>
        <v>70.985</v>
      </c>
      <c r="B75" s="1" t="str">
        <f t="shared" si="3"/>
        <v>Hull Red</v>
      </c>
      <c r="C75" s="1" t="s">
        <v>61</v>
      </c>
      <c r="D75" s="8" t="s">
        <v>165</v>
      </c>
    </row>
    <row r="76" spans="1:4">
      <c r="A76" s="4" t="str">
        <f t="shared" si="2"/>
        <v>70.988</v>
      </c>
      <c r="B76" s="1" t="str">
        <f t="shared" si="3"/>
        <v>Khaki</v>
      </c>
      <c r="C76" s="1" t="s">
        <v>29</v>
      </c>
      <c r="D76" s="8" t="s">
        <v>165</v>
      </c>
    </row>
    <row r="77" spans="1:4">
      <c r="A77" s="4" t="str">
        <f t="shared" si="2"/>
        <v>70.995</v>
      </c>
      <c r="B77" s="1" t="str">
        <f t="shared" si="3"/>
        <v>German Grey</v>
      </c>
      <c r="C77" s="1" t="s">
        <v>70</v>
      </c>
      <c r="D77" s="8" t="s">
        <v>165</v>
      </c>
    </row>
    <row r="78" spans="1:4">
      <c r="A78" s="4" t="str">
        <f t="shared" si="2"/>
        <v>70.997</v>
      </c>
      <c r="B78" s="1" t="str">
        <f t="shared" si="3"/>
        <v>Silver</v>
      </c>
      <c r="C78" s="1" t="s">
        <v>72</v>
      </c>
      <c r="D78" s="8" t="s">
        <v>165</v>
      </c>
    </row>
    <row r="79" spans="1:4" ht="18">
      <c r="A79" s="4" t="str">
        <f t="shared" si="2"/>
        <v>70.845</v>
      </c>
      <c r="B79" s="6" t="str">
        <f t="shared" si="3"/>
        <v>Sunny Skin Tone</v>
      </c>
      <c r="C79" s="1" t="s">
        <v>100</v>
      </c>
      <c r="D79" s="1" t="s">
        <v>103</v>
      </c>
    </row>
    <row r="80" spans="1:4" ht="18">
      <c r="A80" s="4" t="str">
        <f t="shared" si="2"/>
        <v>70.981</v>
      </c>
      <c r="B80" s="6" t="str">
        <f t="shared" si="3"/>
        <v>Orange Brown</v>
      </c>
      <c r="C80" s="1" t="s">
        <v>58</v>
      </c>
      <c r="D80" s="1" t="s">
        <v>104</v>
      </c>
    </row>
    <row r="81" spans="1:4" ht="18">
      <c r="A81" s="4" t="str">
        <f t="shared" si="2"/>
        <v>70.846</v>
      </c>
      <c r="B81" s="6" t="str">
        <f t="shared" si="3"/>
        <v>Mahogany Brown</v>
      </c>
      <c r="C81" s="1" t="s">
        <v>56</v>
      </c>
      <c r="D81" s="1" t="s">
        <v>105</v>
      </c>
    </row>
    <row r="82" spans="1:4" ht="18">
      <c r="A82" s="4" t="str">
        <f t="shared" si="2"/>
        <v>70.881</v>
      </c>
      <c r="B82" s="6" t="str">
        <f t="shared" si="3"/>
        <v>Green Yellow</v>
      </c>
      <c r="C82" s="1" t="s">
        <v>34</v>
      </c>
      <c r="D82" s="1" t="s">
        <v>106</v>
      </c>
    </row>
    <row r="83" spans="1:4" ht="18">
      <c r="A83" s="4" t="str">
        <f t="shared" si="2"/>
        <v>70.975</v>
      </c>
      <c r="B83" s="6" t="str">
        <f t="shared" si="3"/>
        <v>Military Green</v>
      </c>
      <c r="C83" s="1" t="s">
        <v>18</v>
      </c>
      <c r="D83" s="1" t="s">
        <v>107</v>
      </c>
    </row>
    <row r="84" spans="1:4" ht="18">
      <c r="A84" s="4" t="str">
        <f t="shared" si="2"/>
        <v>70.741</v>
      </c>
      <c r="B84" s="6" t="str">
        <f t="shared" si="3"/>
        <v>Camouflage SS Dk Black Green</v>
      </c>
      <c r="C84" s="1" t="s">
        <v>101</v>
      </c>
      <c r="D84" s="1" t="s">
        <v>108</v>
      </c>
    </row>
    <row r="85" spans="1:4" ht="18">
      <c r="A85" s="4" t="str">
        <f t="shared" si="2"/>
        <v>70.884</v>
      </c>
      <c r="B85" s="6" t="str">
        <f t="shared" si="3"/>
        <v>Stone Grey</v>
      </c>
      <c r="C85" s="1" t="s">
        <v>102</v>
      </c>
      <c r="D85" s="1" t="s">
        <v>109</v>
      </c>
    </row>
    <row r="86" spans="1:4" ht="18">
      <c r="A86" s="4" t="str">
        <f t="shared" si="2"/>
        <v>70.950</v>
      </c>
      <c r="B86" s="6" t="str">
        <f t="shared" si="3"/>
        <v>Black</v>
      </c>
      <c r="C86" s="1" t="s">
        <v>71</v>
      </c>
      <c r="D86" s="1" t="s">
        <v>110</v>
      </c>
    </row>
    <row r="87" spans="1:4" ht="18">
      <c r="A87" s="4" t="str">
        <f t="shared" si="2"/>
        <v>70.955</v>
      </c>
      <c r="B87" s="6" t="str">
        <f t="shared" si="3"/>
        <v>Flat Flesh</v>
      </c>
      <c r="C87" s="1" t="s">
        <v>1</v>
      </c>
      <c r="D87" s="1" t="s">
        <v>111</v>
      </c>
    </row>
    <row r="88" spans="1:4" ht="18">
      <c r="A88" s="4" t="str">
        <f t="shared" si="2"/>
        <v>70.756</v>
      </c>
      <c r="B88" s="6" t="str">
        <f t="shared" si="3"/>
        <v>Splinter Green</v>
      </c>
      <c r="C88" s="1" t="s">
        <v>8</v>
      </c>
      <c r="D88" s="1" t="s">
        <v>111</v>
      </c>
    </row>
    <row r="89" spans="1:4" ht="18">
      <c r="A89" s="4" t="str">
        <f t="shared" si="2"/>
        <v>70.758</v>
      </c>
      <c r="B89" s="6" t="str">
        <f t="shared" si="3"/>
        <v>Bright Green</v>
      </c>
      <c r="C89" s="1" t="s">
        <v>13</v>
      </c>
      <c r="D89" s="1" t="s">
        <v>111</v>
      </c>
    </row>
    <row r="90" spans="1:4" ht="18">
      <c r="A90" s="4" t="str">
        <f t="shared" si="2"/>
        <v>70.967</v>
      </c>
      <c r="B90" s="6" t="str">
        <f t="shared" si="3"/>
        <v>Olive Green</v>
      </c>
      <c r="C90" s="1" t="s">
        <v>15</v>
      </c>
      <c r="D90" s="1" t="s">
        <v>111</v>
      </c>
    </row>
    <row r="91" spans="1:4" ht="18">
      <c r="A91" s="4" t="str">
        <f t="shared" si="2"/>
        <v>70.893</v>
      </c>
      <c r="B91" s="6" t="str">
        <f t="shared" si="3"/>
        <v>US Dark Green</v>
      </c>
      <c r="C91" s="1" t="s">
        <v>24</v>
      </c>
      <c r="D91" s="1" t="s">
        <v>111</v>
      </c>
    </row>
    <row r="92" spans="1:4" ht="18">
      <c r="A92" s="4" t="str">
        <f t="shared" si="2"/>
        <v>70.741</v>
      </c>
      <c r="B92" s="6" t="str">
        <f t="shared" si="3"/>
        <v>Camouflage Black Green</v>
      </c>
      <c r="C92" s="1" t="s">
        <v>27</v>
      </c>
      <c r="D92" s="1" t="s">
        <v>111</v>
      </c>
    </row>
    <row r="93" spans="1:4" ht="18">
      <c r="A93" s="4" t="str">
        <f t="shared" si="2"/>
        <v>70.821</v>
      </c>
      <c r="B93" s="6" t="str">
        <f t="shared" si="3"/>
        <v>German Beige WWII</v>
      </c>
      <c r="C93" s="1" t="s">
        <v>28</v>
      </c>
      <c r="D93" s="1" t="s">
        <v>111</v>
      </c>
    </row>
    <row r="94" spans="1:4" ht="18">
      <c r="A94" s="4" t="str">
        <f t="shared" si="2"/>
        <v>70.740</v>
      </c>
      <c r="B94" s="6" t="str">
        <f t="shared" si="3"/>
        <v>Camouflage Middle Brown</v>
      </c>
      <c r="C94" s="1" t="s">
        <v>32</v>
      </c>
      <c r="D94" s="1" t="s">
        <v>111</v>
      </c>
    </row>
    <row r="95" spans="1:4" ht="18">
      <c r="A95" s="4" t="str">
        <f t="shared" si="2"/>
        <v>70.822</v>
      </c>
      <c r="B95" s="6" t="str">
        <f t="shared" si="3"/>
        <v>Camouflage Black Brown</v>
      </c>
      <c r="C95" s="1" t="s">
        <v>50</v>
      </c>
      <c r="D95" s="1" t="s">
        <v>111</v>
      </c>
    </row>
    <row r="96" spans="1:4" ht="18">
      <c r="A96" s="4" t="str">
        <f t="shared" si="2"/>
        <v>70.875</v>
      </c>
      <c r="B96" s="6" t="str">
        <f t="shared" si="3"/>
        <v>Beige Brown</v>
      </c>
      <c r="C96" s="1" t="s">
        <v>53</v>
      </c>
      <c r="D96" s="1" t="s">
        <v>111</v>
      </c>
    </row>
    <row r="97" spans="1:4" ht="18">
      <c r="A97" s="4" t="str">
        <f t="shared" si="2"/>
        <v>70.940</v>
      </c>
      <c r="B97" s="6" t="str">
        <f t="shared" si="3"/>
        <v>Saddle Brown</v>
      </c>
      <c r="C97" s="1" t="s">
        <v>55</v>
      </c>
      <c r="D97" s="1" t="s">
        <v>111</v>
      </c>
    </row>
    <row r="98" spans="1:4" ht="18">
      <c r="A98" s="4" t="str">
        <f t="shared" si="2"/>
        <v>70.846</v>
      </c>
      <c r="B98" s="6" t="str">
        <f t="shared" si="3"/>
        <v>Mahogany Brown</v>
      </c>
      <c r="C98" s="1" t="s">
        <v>56</v>
      </c>
      <c r="D98" s="1" t="s">
        <v>111</v>
      </c>
    </row>
    <row r="99" spans="1:4" ht="18">
      <c r="A99" s="4" t="str">
        <f t="shared" si="2"/>
        <v>70.984</v>
      </c>
      <c r="B99" s="6" t="str">
        <f t="shared" si="3"/>
        <v>Flat Brown</v>
      </c>
      <c r="C99" s="1" t="s">
        <v>57</v>
      </c>
      <c r="D99" s="1" t="s">
        <v>111</v>
      </c>
    </row>
    <row r="100" spans="1:4" ht="18">
      <c r="A100" s="4" t="str">
        <f t="shared" si="2"/>
        <v>70.913</v>
      </c>
      <c r="B100" s="6" t="str">
        <f t="shared" si="3"/>
        <v>Yellow Ochre</v>
      </c>
      <c r="C100" s="1" t="s">
        <v>80</v>
      </c>
      <c r="D100" s="1" t="s">
        <v>111</v>
      </c>
    </row>
    <row r="101" spans="1:4" ht="18">
      <c r="A101" s="4" t="str">
        <f t="shared" si="2"/>
        <v>70.981</v>
      </c>
      <c r="B101" s="6" t="str">
        <f t="shared" si="3"/>
        <v>Orange Brown</v>
      </c>
      <c r="C101" s="1" t="s">
        <v>58</v>
      </c>
      <c r="D101" s="1" t="s">
        <v>111</v>
      </c>
    </row>
    <row r="102" spans="1:4" ht="18">
      <c r="A102" s="4" t="str">
        <f t="shared" si="2"/>
        <v>70.985</v>
      </c>
      <c r="B102" s="6" t="str">
        <f t="shared" si="3"/>
        <v>Hull Red</v>
      </c>
      <c r="C102" s="1" t="s">
        <v>61</v>
      </c>
      <c r="D102" s="1" t="s">
        <v>111</v>
      </c>
    </row>
    <row r="103" spans="1:4" ht="18">
      <c r="A103" s="4"/>
      <c r="B103" s="6"/>
      <c r="C103" s="1"/>
      <c r="D103" s="1"/>
    </row>
    <row r="104" spans="1:4" ht="18">
      <c r="A104" s="4"/>
      <c r="B104" s="6"/>
      <c r="C104" s="1"/>
      <c r="D104" s="1"/>
    </row>
    <row r="105" spans="1:4" ht="18">
      <c r="A105" s="4"/>
      <c r="B105" s="6"/>
      <c r="C105" s="1"/>
      <c r="D105" s="1"/>
    </row>
    <row r="106" spans="1:4" ht="18">
      <c r="A106" s="4" t="str">
        <f t="shared" si="2"/>
        <v>70.801</v>
      </c>
      <c r="B106" s="6" t="str">
        <f>MID(C106,10,999)</f>
        <v>Brass</v>
      </c>
      <c r="C106" s="7" t="s">
        <v>112</v>
      </c>
      <c r="D106" s="1" t="s">
        <v>128</v>
      </c>
    </row>
    <row r="107" spans="1:4" ht="18">
      <c r="A107" s="4" t="str">
        <f t="shared" si="2"/>
        <v>70.805</v>
      </c>
      <c r="B107" s="6" t="str">
        <f t="shared" ref="B107:B121" si="4">MID(C107,10,999)</f>
        <v>German Orange</v>
      </c>
      <c r="C107" s="7" t="s">
        <v>113</v>
      </c>
      <c r="D107" s="1" t="s">
        <v>128</v>
      </c>
    </row>
    <row r="108" spans="1:4" ht="18">
      <c r="A108" s="4" t="str">
        <f t="shared" si="2"/>
        <v>70.806</v>
      </c>
      <c r="B108" s="6" t="str">
        <f t="shared" si="4"/>
        <v>German Yellow</v>
      </c>
      <c r="C108" s="7" t="s">
        <v>114</v>
      </c>
      <c r="D108" s="1" t="s">
        <v>128</v>
      </c>
    </row>
    <row r="109" spans="1:4" ht="18">
      <c r="A109" s="4" t="str">
        <f t="shared" si="2"/>
        <v>70.818</v>
      </c>
      <c r="B109" s="6" t="str">
        <f t="shared" si="4"/>
        <v>Red Leather</v>
      </c>
      <c r="C109" s="7" t="s">
        <v>115</v>
      </c>
      <c r="D109" s="1" t="s">
        <v>128</v>
      </c>
    </row>
    <row r="110" spans="1:4" ht="18">
      <c r="A110" s="4" t="str">
        <f t="shared" si="2"/>
        <v>70.845</v>
      </c>
      <c r="B110" s="6" t="str">
        <f t="shared" si="4"/>
        <v>Sunny Skin Tone</v>
      </c>
      <c r="C110" s="7" t="s">
        <v>116</v>
      </c>
      <c r="D110" s="1" t="s">
        <v>128</v>
      </c>
    </row>
    <row r="111" spans="1:4" ht="18">
      <c r="A111" s="4" t="str">
        <f t="shared" si="2"/>
        <v>70.861</v>
      </c>
      <c r="B111" s="6" t="str">
        <f t="shared" si="4"/>
        <v>Glossy Black</v>
      </c>
      <c r="C111" s="7" t="s">
        <v>117</v>
      </c>
      <c r="D111" s="1" t="s">
        <v>128</v>
      </c>
    </row>
    <row r="112" spans="1:4" ht="18">
      <c r="A112" s="4" t="str">
        <f t="shared" si="2"/>
        <v>70.868</v>
      </c>
      <c r="B112" s="6" t="str">
        <f t="shared" si="4"/>
        <v>Dark Sea Green</v>
      </c>
      <c r="C112" s="7" t="s">
        <v>118</v>
      </c>
      <c r="D112" s="1" t="s">
        <v>128</v>
      </c>
    </row>
    <row r="113" spans="1:5" ht="18">
      <c r="A113" s="4" t="str">
        <f t="shared" si="2"/>
        <v>70.871</v>
      </c>
      <c r="B113" s="6" t="str">
        <f t="shared" si="4"/>
        <v>Leather Brown</v>
      </c>
      <c r="C113" s="7" t="s">
        <v>119</v>
      </c>
      <c r="D113" s="1" t="s">
        <v>128</v>
      </c>
    </row>
    <row r="114" spans="1:5" ht="18">
      <c r="A114" s="4" t="str">
        <f t="shared" si="2"/>
        <v>70.912</v>
      </c>
      <c r="B114" s="6" t="str">
        <f t="shared" si="4"/>
        <v>Tan Yellow</v>
      </c>
      <c r="C114" s="7" t="s">
        <v>120</v>
      </c>
      <c r="D114" s="1" t="s">
        <v>128</v>
      </c>
    </row>
    <row r="115" spans="1:5" ht="18">
      <c r="A115" s="4" t="str">
        <f t="shared" si="2"/>
        <v>70.920</v>
      </c>
      <c r="B115" s="6" t="str">
        <f t="shared" si="4"/>
        <v>German Uniform</v>
      </c>
      <c r="C115" s="7" t="s">
        <v>121</v>
      </c>
      <c r="D115" s="1" t="s">
        <v>128</v>
      </c>
    </row>
    <row r="116" spans="1:5" ht="18">
      <c r="A116" s="4" t="str">
        <f t="shared" si="2"/>
        <v>70.946</v>
      </c>
      <c r="B116" s="6" t="str">
        <f t="shared" si="4"/>
        <v>Dark Red</v>
      </c>
      <c r="C116" s="7" t="s">
        <v>122</v>
      </c>
      <c r="D116" s="1" t="s">
        <v>128</v>
      </c>
    </row>
    <row r="117" spans="1:5" ht="18">
      <c r="A117" s="4" t="str">
        <f t="shared" ref="A117:A121" si="5">LEFT(C117,6)</f>
        <v>70.950</v>
      </c>
      <c r="B117" s="6" t="str">
        <f t="shared" si="4"/>
        <v>Black</v>
      </c>
      <c r="C117" s="7" t="s">
        <v>123</v>
      </c>
      <c r="D117" s="1" t="s">
        <v>128</v>
      </c>
    </row>
    <row r="118" spans="1:5" ht="18">
      <c r="A118" s="4" t="str">
        <f t="shared" si="5"/>
        <v>70.951</v>
      </c>
      <c r="B118" s="6" t="str">
        <f t="shared" si="4"/>
        <v>White</v>
      </c>
      <c r="C118" s="7" t="s">
        <v>124</v>
      </c>
      <c r="D118" s="1" t="s">
        <v>128</v>
      </c>
    </row>
    <row r="119" spans="1:5" ht="18">
      <c r="A119" s="4" t="str">
        <f t="shared" si="5"/>
        <v>70.992</v>
      </c>
      <c r="B119" s="6" t="str">
        <f t="shared" si="4"/>
        <v>Neutral Grey</v>
      </c>
      <c r="C119" s="7" t="s">
        <v>125</v>
      </c>
      <c r="D119" s="1" t="s">
        <v>128</v>
      </c>
    </row>
    <row r="120" spans="1:5" ht="18">
      <c r="A120" s="4" t="str">
        <f t="shared" si="5"/>
        <v>70.995</v>
      </c>
      <c r="B120" s="6" t="str">
        <f t="shared" si="4"/>
        <v>German Grey </v>
      </c>
      <c r="C120" s="7" t="s">
        <v>126</v>
      </c>
      <c r="D120" s="1" t="s">
        <v>128</v>
      </c>
    </row>
    <row r="121" spans="1:5" ht="18">
      <c r="A121" s="4" t="str">
        <f t="shared" si="5"/>
        <v>70.997</v>
      </c>
      <c r="B121" s="6" t="str">
        <f t="shared" si="4"/>
        <v>Silver</v>
      </c>
      <c r="C121" s="7" t="s">
        <v>127</v>
      </c>
      <c r="D121" s="1" t="s">
        <v>128</v>
      </c>
    </row>
    <row r="122" spans="1:5" ht="21">
      <c r="A122" s="4"/>
      <c r="B122" s="6"/>
      <c r="C122" s="1"/>
      <c r="D122" s="9"/>
    </row>
    <row r="123" spans="1:5" ht="21">
      <c r="A123" s="4"/>
      <c r="B123" s="6"/>
      <c r="C123" s="1"/>
      <c r="E123" s="9"/>
    </row>
    <row r="124" spans="1:5" ht="21">
      <c r="A124" s="4"/>
      <c r="B124" s="6"/>
      <c r="C124" s="1"/>
      <c r="E124" s="9"/>
    </row>
    <row r="125" spans="1:5" ht="21">
      <c r="A125" s="4"/>
      <c r="B125" s="6"/>
      <c r="C125" s="1"/>
      <c r="E125" s="9"/>
    </row>
    <row r="126" spans="1:5" ht="21">
      <c r="A126" s="4"/>
      <c r="B126" s="6"/>
      <c r="C126" s="1"/>
      <c r="E126" s="9"/>
    </row>
    <row r="127" spans="1:5" ht="21">
      <c r="A127" s="4"/>
      <c r="B127" s="6"/>
      <c r="C127" s="1"/>
      <c r="E127" s="9"/>
    </row>
    <row r="128" spans="1:5" ht="21">
      <c r="A128" s="4"/>
      <c r="B128" s="6"/>
      <c r="C128" s="1"/>
      <c r="E128" s="9"/>
    </row>
    <row r="129" spans="1:5" ht="21">
      <c r="A129" s="4"/>
      <c r="B129" s="6"/>
      <c r="C129" s="1"/>
      <c r="E129" s="9"/>
    </row>
  </sheetData>
  <autoFilter ref="A1:C78" xr:uid="{698D380E-185F-AF4F-B85F-5B8B53DEFC92}"/>
  <conditionalFormatting sqref="A1:A1048576">
    <cfRule type="duplicateValues" dxfId="30" priority="1"/>
  </conditionalFormatting>
  <conditionalFormatting sqref="A130:XFD1048576 A1:XFD1 A2:C78 E2:XFD78 D79:XFD121 F122:XFD129 A79:B129">
    <cfRule type="duplicateValues" dxfId="29" priority="2"/>
  </conditionalFormatting>
  <conditionalFormatting sqref="C130:C1048576 C1:C78">
    <cfRule type="duplicateValues" dxfId="28" priority="3"/>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14AAC-A11E-3546-B11F-06D80CE8C632}">
  <sheetPr codeName="Blad2"/>
  <dimension ref="A1:E143"/>
  <sheetViews>
    <sheetView topLeftCell="A112" zoomScale="99" workbookViewId="0">
      <selection activeCell="C124" sqref="C124"/>
    </sheetView>
  </sheetViews>
  <sheetFormatPr baseColWidth="10" defaultColWidth="18.1640625" defaultRowHeight="19"/>
  <cols>
    <col min="1" max="1" width="9" style="5" bestFit="1" customWidth="1"/>
    <col min="2" max="2" width="41.5" bestFit="1" customWidth="1"/>
    <col min="3" max="3" width="48.1640625" bestFit="1" customWidth="1"/>
    <col min="4" max="4" width="119.5" bestFit="1" customWidth="1"/>
    <col min="5" max="5" width="60.5" bestFit="1" customWidth="1"/>
  </cols>
  <sheetData>
    <row r="1" spans="1:5">
      <c r="A1" s="3" t="s">
        <v>77</v>
      </c>
      <c r="B1" s="2" t="s">
        <v>78</v>
      </c>
      <c r="C1" s="2" t="s">
        <v>79</v>
      </c>
    </row>
    <row r="2" spans="1:5" s="2" customFormat="1">
      <c r="A2" s="4" t="str">
        <f t="shared" ref="A2:A65" si="0">LEFT(C2,6)</f>
        <v>70.520</v>
      </c>
      <c r="B2" s="1" t="str">
        <f t="shared" ref="B2:B65" si="1">MID(C2,8,999)</f>
        <v>Matt Varnish</v>
      </c>
      <c r="C2" s="1" t="s">
        <v>75</v>
      </c>
      <c r="D2" s="8" t="s">
        <v>165</v>
      </c>
      <c r="E2" s="1" t="s">
        <v>199</v>
      </c>
    </row>
    <row r="3" spans="1:5">
      <c r="A3" s="4" t="str">
        <f t="shared" si="0"/>
        <v>70.524</v>
      </c>
      <c r="B3" s="1" t="str">
        <f t="shared" si="1"/>
        <v>Thinner Medium</v>
      </c>
      <c r="C3" s="1" t="s">
        <v>76</v>
      </c>
      <c r="D3" s="8" t="s">
        <v>165</v>
      </c>
      <c r="E3" s="8" t="s">
        <v>174</v>
      </c>
    </row>
    <row r="4" spans="1:5">
      <c r="A4" s="4" t="str">
        <f t="shared" si="0"/>
        <v>70.740</v>
      </c>
      <c r="B4" s="1" t="str">
        <f t="shared" si="1"/>
        <v>Camouflage Middle Brown</v>
      </c>
      <c r="C4" s="1" t="s">
        <v>32</v>
      </c>
      <c r="D4" s="8" t="s">
        <v>165</v>
      </c>
      <c r="E4" s="1" t="s">
        <v>173</v>
      </c>
    </row>
    <row r="5" spans="1:5">
      <c r="A5" s="4" t="str">
        <f t="shared" si="0"/>
        <v>70.741</v>
      </c>
      <c r="B5" s="1" t="str">
        <f t="shared" si="1"/>
        <v>Camouflage Black Green</v>
      </c>
      <c r="C5" s="1" t="s">
        <v>27</v>
      </c>
      <c r="D5" s="8" t="s">
        <v>165</v>
      </c>
      <c r="E5" s="1" t="s">
        <v>214</v>
      </c>
    </row>
    <row r="6" spans="1:5">
      <c r="A6" s="4" t="str">
        <f t="shared" si="0"/>
        <v>70.754</v>
      </c>
      <c r="B6" s="1" t="str">
        <f t="shared" si="1"/>
        <v>Continental Blue</v>
      </c>
      <c r="C6" s="1" t="s">
        <v>7</v>
      </c>
      <c r="D6" s="8" t="s">
        <v>165</v>
      </c>
    </row>
    <row r="7" spans="1:5">
      <c r="A7" s="4" t="str">
        <f t="shared" si="0"/>
        <v>70.756</v>
      </c>
      <c r="B7" s="1" t="str">
        <f t="shared" si="1"/>
        <v>Splinter Green</v>
      </c>
      <c r="C7" s="1" t="s">
        <v>8</v>
      </c>
      <c r="D7" s="8" t="s">
        <v>165</v>
      </c>
    </row>
    <row r="8" spans="1:5">
      <c r="A8" s="4" t="str">
        <f t="shared" si="0"/>
        <v>70.757</v>
      </c>
      <c r="B8" s="1" t="str">
        <f t="shared" si="1"/>
        <v>Pacific Green</v>
      </c>
      <c r="C8" s="1" t="s">
        <v>10</v>
      </c>
      <c r="D8" s="8" t="s">
        <v>165</v>
      </c>
    </row>
    <row r="9" spans="1:5">
      <c r="A9" s="4" t="str">
        <f t="shared" si="0"/>
        <v>70.758</v>
      </c>
      <c r="B9" s="1" t="str">
        <f t="shared" si="1"/>
        <v>Bright Green</v>
      </c>
      <c r="C9" s="1" t="s">
        <v>13</v>
      </c>
      <c r="D9" s="8" t="s">
        <v>165</v>
      </c>
    </row>
    <row r="10" spans="1:5">
      <c r="A10" s="4" t="str">
        <f t="shared" si="0"/>
        <v>70.759</v>
      </c>
      <c r="B10" s="1" t="str">
        <f t="shared" si="1"/>
        <v>German Tank Crew</v>
      </c>
      <c r="C10" s="1" t="s">
        <v>21</v>
      </c>
      <c r="D10" s="8" t="s">
        <v>165</v>
      </c>
    </row>
    <row r="11" spans="1:5">
      <c r="A11" s="4" t="str">
        <f t="shared" si="0"/>
        <v>70.761</v>
      </c>
      <c r="B11" s="1" t="str">
        <f t="shared" si="1"/>
        <v>Old Wood</v>
      </c>
      <c r="C11" s="1" t="s">
        <v>45</v>
      </c>
      <c r="D11" s="8" t="s">
        <v>165</v>
      </c>
    </row>
    <row r="12" spans="1:5">
      <c r="A12" s="4" t="str">
        <f t="shared" si="0"/>
        <v>70.762</v>
      </c>
      <c r="B12" s="1" t="str">
        <f t="shared" si="1"/>
        <v>Grey Brown</v>
      </c>
      <c r="C12" s="1" t="s">
        <v>30</v>
      </c>
      <c r="D12" s="8" t="s">
        <v>165</v>
      </c>
    </row>
    <row r="13" spans="1:5">
      <c r="A13" s="4" t="str">
        <f t="shared" si="0"/>
        <v>70.763</v>
      </c>
      <c r="B13" s="1" t="str">
        <f t="shared" si="1"/>
        <v>Canvas</v>
      </c>
      <c r="C13" s="1" t="s">
        <v>31</v>
      </c>
      <c r="D13" s="8" t="s">
        <v>165</v>
      </c>
    </row>
    <row r="14" spans="1:5">
      <c r="A14" s="4" t="str">
        <f t="shared" si="0"/>
        <v>70.764</v>
      </c>
      <c r="B14" s="1" t="str">
        <f t="shared" si="1"/>
        <v>Military Yellow</v>
      </c>
      <c r="C14" s="1" t="s">
        <v>37</v>
      </c>
      <c r="D14" s="8" t="s">
        <v>165</v>
      </c>
    </row>
    <row r="15" spans="1:5">
      <c r="A15" s="4" t="str">
        <f t="shared" si="0"/>
        <v>70.765</v>
      </c>
      <c r="B15" s="1" t="str">
        <f t="shared" si="1"/>
        <v>Desert Tan</v>
      </c>
      <c r="C15" s="1" t="s">
        <v>46</v>
      </c>
      <c r="D15" s="8" t="s">
        <v>165</v>
      </c>
    </row>
    <row r="16" spans="1:5">
      <c r="A16" s="4" t="str">
        <f t="shared" si="0"/>
        <v>70.766</v>
      </c>
      <c r="B16" s="1" t="str">
        <f t="shared" si="1"/>
        <v>Cream White</v>
      </c>
      <c r="C16" s="1" t="s">
        <v>2</v>
      </c>
      <c r="D16" s="8" t="s">
        <v>165</v>
      </c>
    </row>
    <row r="17" spans="1:4">
      <c r="A17" s="4" t="str">
        <f t="shared" si="0"/>
        <v>70.767</v>
      </c>
      <c r="B17" s="1" t="str">
        <f t="shared" si="1"/>
        <v>Desert Brown</v>
      </c>
      <c r="C17" s="1" t="s">
        <v>44</v>
      </c>
      <c r="D17" s="8" t="s">
        <v>165</v>
      </c>
    </row>
    <row r="18" spans="1:4">
      <c r="A18" s="4" t="str">
        <f t="shared" si="0"/>
        <v>70.769</v>
      </c>
      <c r="B18" s="1" t="str">
        <f t="shared" si="1"/>
        <v>Mustard Brown</v>
      </c>
      <c r="C18" s="1" t="s">
        <v>52</v>
      </c>
      <c r="D18" s="8" t="s">
        <v>165</v>
      </c>
    </row>
    <row r="19" spans="1:4">
      <c r="A19" s="4" t="str">
        <f t="shared" si="0"/>
        <v>70.772</v>
      </c>
      <c r="B19" s="1" t="str">
        <f t="shared" si="1"/>
        <v>Medium Grey Blue</v>
      </c>
      <c r="C19" s="1" t="s">
        <v>65</v>
      </c>
      <c r="D19" s="8" t="s">
        <v>165</v>
      </c>
    </row>
    <row r="20" spans="1:4">
      <c r="A20" s="4" t="str">
        <f t="shared" si="0"/>
        <v>70.801</v>
      </c>
      <c r="B20" s="1" t="str">
        <f t="shared" si="1"/>
        <v>Brass</v>
      </c>
      <c r="C20" s="1" t="s">
        <v>74</v>
      </c>
      <c r="D20" s="8" t="s">
        <v>165</v>
      </c>
    </row>
    <row r="21" spans="1:4">
      <c r="A21" s="4" t="str">
        <f t="shared" si="0"/>
        <v>70.814</v>
      </c>
      <c r="B21" s="1" t="str">
        <f t="shared" si="1"/>
        <v>Burnt Red</v>
      </c>
      <c r="C21" s="1" t="s">
        <v>60</v>
      </c>
      <c r="D21" s="8" t="s">
        <v>165</v>
      </c>
    </row>
    <row r="22" spans="1:4">
      <c r="A22" s="4" t="str">
        <f t="shared" si="0"/>
        <v>70.816</v>
      </c>
      <c r="B22" s="1" t="str">
        <f t="shared" si="1"/>
        <v>Luftwaffe Uniform</v>
      </c>
      <c r="C22" s="1" t="s">
        <v>66</v>
      </c>
      <c r="D22" s="8" t="s">
        <v>165</v>
      </c>
    </row>
    <row r="23" spans="1:4">
      <c r="A23" s="4" t="str">
        <f t="shared" si="0"/>
        <v>70.821</v>
      </c>
      <c r="B23" s="1" t="str">
        <f t="shared" si="1"/>
        <v>German Beige WWII</v>
      </c>
      <c r="C23" s="1" t="s">
        <v>28</v>
      </c>
      <c r="D23" s="8" t="s">
        <v>165</v>
      </c>
    </row>
    <row r="24" spans="1:4">
      <c r="A24" s="4" t="str">
        <f t="shared" si="0"/>
        <v>70.822</v>
      </c>
      <c r="B24" s="1" t="str">
        <f t="shared" si="1"/>
        <v>Camouflage Black Brown</v>
      </c>
      <c r="C24" s="1" t="s">
        <v>50</v>
      </c>
      <c r="D24" s="8" t="s">
        <v>165</v>
      </c>
    </row>
    <row r="25" spans="1:4">
      <c r="A25" s="4" t="str">
        <f t="shared" si="0"/>
        <v>70.823</v>
      </c>
      <c r="B25" s="1" t="str">
        <f t="shared" si="1"/>
        <v>Luftwaffe Green</v>
      </c>
      <c r="C25" s="1" t="s">
        <v>17</v>
      </c>
      <c r="D25" s="8" t="s">
        <v>165</v>
      </c>
    </row>
    <row r="26" spans="1:4">
      <c r="A26" s="4" t="str">
        <f t="shared" si="0"/>
        <v>70.830</v>
      </c>
      <c r="B26" s="1" t="str">
        <f t="shared" si="1"/>
        <v>German Fieldgrey WWII</v>
      </c>
      <c r="C26" s="1" t="s">
        <v>20</v>
      </c>
      <c r="D26" s="8" t="s">
        <v>165</v>
      </c>
    </row>
    <row r="27" spans="1:4">
      <c r="A27" s="4" t="str">
        <f t="shared" si="0"/>
        <v>70.837</v>
      </c>
      <c r="B27" s="1" t="str">
        <f t="shared" si="1"/>
        <v>Pale Sand</v>
      </c>
      <c r="C27" s="1" t="s">
        <v>3</v>
      </c>
      <c r="D27" s="8" t="s">
        <v>165</v>
      </c>
    </row>
    <row r="28" spans="1:4">
      <c r="A28" s="4" t="str">
        <f t="shared" si="0"/>
        <v>70.846</v>
      </c>
      <c r="B28" s="1" t="str">
        <f t="shared" si="1"/>
        <v>Mahogany Brown</v>
      </c>
      <c r="C28" s="1" t="s">
        <v>56</v>
      </c>
      <c r="D28" s="8" t="s">
        <v>165</v>
      </c>
    </row>
    <row r="29" spans="1:4">
      <c r="A29" s="4" t="str">
        <f t="shared" si="0"/>
        <v>70.847</v>
      </c>
      <c r="B29" s="1" t="str">
        <f t="shared" si="1"/>
        <v>Dark Sand</v>
      </c>
      <c r="C29" s="1" t="s">
        <v>43</v>
      </c>
      <c r="D29" s="8" t="s">
        <v>165</v>
      </c>
    </row>
    <row r="30" spans="1:4">
      <c r="A30" s="4" t="str">
        <f t="shared" si="0"/>
        <v>70.863</v>
      </c>
      <c r="B30" s="1" t="str">
        <f t="shared" si="1"/>
        <v>Gunmetal</v>
      </c>
      <c r="C30" s="1" t="s">
        <v>73</v>
      </c>
      <c r="D30" s="8" t="s">
        <v>165</v>
      </c>
    </row>
    <row r="31" spans="1:4">
      <c r="A31" s="4" t="str">
        <f t="shared" si="0"/>
        <v>70.866</v>
      </c>
      <c r="B31" s="1" t="str">
        <f t="shared" si="1"/>
        <v>Grey Green</v>
      </c>
      <c r="C31" s="1" t="s">
        <v>68</v>
      </c>
      <c r="D31" s="8" t="s">
        <v>165</v>
      </c>
    </row>
    <row r="32" spans="1:4">
      <c r="A32" s="4" t="str">
        <f t="shared" si="0"/>
        <v>70.867</v>
      </c>
      <c r="B32" s="1" t="str">
        <f t="shared" si="1"/>
        <v>Dark Blue Grey</v>
      </c>
      <c r="C32" s="1" t="s">
        <v>67</v>
      </c>
      <c r="D32" s="8" t="s">
        <v>165</v>
      </c>
    </row>
    <row r="33" spans="1:4">
      <c r="A33" s="4" t="str">
        <f t="shared" si="0"/>
        <v>70.868</v>
      </c>
      <c r="B33" s="1" t="str">
        <f t="shared" si="1"/>
        <v>Dark Sea Green</v>
      </c>
      <c r="C33" s="1" t="s">
        <v>69</v>
      </c>
      <c r="D33" s="8" t="s">
        <v>165</v>
      </c>
    </row>
    <row r="34" spans="1:4">
      <c r="A34" s="4" t="str">
        <f t="shared" si="0"/>
        <v>70.871</v>
      </c>
      <c r="B34" s="1" t="str">
        <f t="shared" si="1"/>
        <v>Leather Brown</v>
      </c>
      <c r="C34" s="1" t="s">
        <v>49</v>
      </c>
      <c r="D34" s="8" t="s">
        <v>165</v>
      </c>
    </row>
    <row r="35" spans="1:4">
      <c r="A35" s="4" t="str">
        <f t="shared" si="0"/>
        <v>70.873</v>
      </c>
      <c r="B35" s="1" t="str">
        <f t="shared" si="1"/>
        <v>US Field Drab</v>
      </c>
      <c r="C35" s="1" t="s">
        <v>48</v>
      </c>
      <c r="D35" s="8" t="s">
        <v>165</v>
      </c>
    </row>
    <row r="36" spans="1:4">
      <c r="A36" s="4" t="str">
        <f t="shared" si="0"/>
        <v>70.874</v>
      </c>
      <c r="B36" s="1" t="str">
        <f t="shared" si="1"/>
        <v>Tan Earth</v>
      </c>
      <c r="C36" s="1" t="s">
        <v>47</v>
      </c>
      <c r="D36" s="8" t="s">
        <v>165</v>
      </c>
    </row>
    <row r="37" spans="1:4">
      <c r="A37" s="4" t="str">
        <f t="shared" si="0"/>
        <v>70.875</v>
      </c>
      <c r="B37" s="1" t="str">
        <f t="shared" si="1"/>
        <v>Beige Brown</v>
      </c>
      <c r="C37" s="1" t="s">
        <v>53</v>
      </c>
      <c r="D37" s="8" t="s">
        <v>165</v>
      </c>
    </row>
    <row r="38" spans="1:4">
      <c r="A38" s="4" t="str">
        <f t="shared" si="0"/>
        <v>70.879</v>
      </c>
      <c r="B38" s="1" t="str">
        <f t="shared" si="1"/>
        <v>Green Brown</v>
      </c>
      <c r="C38" s="1" t="s">
        <v>39</v>
      </c>
      <c r="D38" s="8" t="s">
        <v>165</v>
      </c>
    </row>
    <row r="39" spans="1:4">
      <c r="A39" s="4" t="str">
        <f t="shared" si="0"/>
        <v>70.880</v>
      </c>
      <c r="B39" s="1" t="str">
        <f t="shared" si="1"/>
        <v>Khaki Grey</v>
      </c>
      <c r="C39" s="1" t="s">
        <v>42</v>
      </c>
      <c r="D39" s="8" t="s">
        <v>165</v>
      </c>
    </row>
    <row r="40" spans="1:4">
      <c r="A40" s="4" t="str">
        <f t="shared" si="0"/>
        <v>70.881</v>
      </c>
      <c r="B40" s="1" t="str">
        <f t="shared" si="1"/>
        <v>Green Yellow</v>
      </c>
      <c r="C40" s="1" t="s">
        <v>34</v>
      </c>
      <c r="D40" s="8" t="s">
        <v>165</v>
      </c>
    </row>
    <row r="41" spans="1:4">
      <c r="A41" s="4" t="str">
        <f t="shared" si="0"/>
        <v>70.886</v>
      </c>
      <c r="B41" s="1" t="str">
        <f t="shared" si="1"/>
        <v>Green Grey</v>
      </c>
      <c r="C41" s="1" t="s">
        <v>19</v>
      </c>
      <c r="D41" s="8" t="s">
        <v>165</v>
      </c>
    </row>
    <row r="42" spans="1:4">
      <c r="A42" s="4" t="str">
        <f t="shared" si="0"/>
        <v>70.887</v>
      </c>
      <c r="B42" s="1" t="str">
        <f t="shared" si="1"/>
        <v>US Olive Drab</v>
      </c>
      <c r="C42" s="1" t="s">
        <v>35</v>
      </c>
      <c r="D42" s="8" t="s">
        <v>165</v>
      </c>
    </row>
    <row r="43" spans="1:4">
      <c r="A43" s="4" t="str">
        <f t="shared" si="0"/>
        <v>70.890</v>
      </c>
      <c r="B43" s="1" t="str">
        <f t="shared" si="1"/>
        <v>Refractive Green</v>
      </c>
      <c r="C43" s="1" t="s">
        <v>25</v>
      </c>
      <c r="D43" s="8" t="s">
        <v>165</v>
      </c>
    </row>
    <row r="44" spans="1:4">
      <c r="A44" s="4" t="str">
        <f t="shared" si="0"/>
        <v>70.893</v>
      </c>
      <c r="B44" s="1" t="str">
        <f t="shared" si="1"/>
        <v>US Dark Green</v>
      </c>
      <c r="C44" s="1" t="s">
        <v>24</v>
      </c>
      <c r="D44" s="8" t="s">
        <v>165</v>
      </c>
    </row>
    <row r="45" spans="1:4">
      <c r="A45" s="4" t="str">
        <f t="shared" si="0"/>
        <v>70.894</v>
      </c>
      <c r="B45" s="1" t="str">
        <f t="shared" si="1"/>
        <v>Camouflage Olive Green</v>
      </c>
      <c r="C45" s="1" t="s">
        <v>26</v>
      </c>
      <c r="D45" s="8" t="s">
        <v>165</v>
      </c>
    </row>
    <row r="46" spans="1:4">
      <c r="A46" s="4" t="str">
        <f t="shared" si="0"/>
        <v>70.895</v>
      </c>
      <c r="B46" s="1" t="str">
        <f t="shared" si="1"/>
        <v>Gunship Green</v>
      </c>
      <c r="C46" s="1" t="s">
        <v>11</v>
      </c>
      <c r="D46" s="8" t="s">
        <v>165</v>
      </c>
    </row>
    <row r="47" spans="1:4">
      <c r="A47" s="4" t="str">
        <f t="shared" si="0"/>
        <v>70.896</v>
      </c>
      <c r="B47" s="1" t="str">
        <f t="shared" si="1"/>
        <v>Extra Dark Green</v>
      </c>
      <c r="C47" s="1" t="s">
        <v>22</v>
      </c>
      <c r="D47" s="8" t="s">
        <v>165</v>
      </c>
    </row>
    <row r="48" spans="1:4">
      <c r="A48" s="4" t="str">
        <f t="shared" si="0"/>
        <v>70.897</v>
      </c>
      <c r="B48" s="1" t="str">
        <f t="shared" si="1"/>
        <v>Bronze Green</v>
      </c>
      <c r="C48" s="1" t="s">
        <v>12</v>
      </c>
      <c r="D48" s="8" t="s">
        <v>165</v>
      </c>
    </row>
    <row r="49" spans="1:4">
      <c r="A49" s="4" t="str">
        <f t="shared" si="0"/>
        <v>70.906</v>
      </c>
      <c r="B49" s="1" t="str">
        <f t="shared" si="1"/>
        <v>Pale Blue</v>
      </c>
      <c r="C49" s="1" t="s">
        <v>63</v>
      </c>
      <c r="D49" s="8" t="s">
        <v>165</v>
      </c>
    </row>
    <row r="50" spans="1:4">
      <c r="A50" s="4" t="str">
        <f t="shared" si="0"/>
        <v>70.914</v>
      </c>
      <c r="B50" s="1" t="str">
        <f t="shared" si="1"/>
        <v>Green Ochre</v>
      </c>
      <c r="C50" s="1" t="s">
        <v>41</v>
      </c>
      <c r="D50" s="8" t="s">
        <v>165</v>
      </c>
    </row>
    <row r="51" spans="1:4">
      <c r="A51" s="4" t="str">
        <f t="shared" si="0"/>
        <v>70.921</v>
      </c>
      <c r="B51" s="1" t="str">
        <f t="shared" si="1"/>
        <v>English Uniform</v>
      </c>
      <c r="C51" s="1" t="s">
        <v>40</v>
      </c>
      <c r="D51" s="8" t="s">
        <v>165</v>
      </c>
    </row>
    <row r="52" spans="1:4">
      <c r="A52" s="4" t="str">
        <f t="shared" si="0"/>
        <v>70.922</v>
      </c>
      <c r="B52" s="1" t="str">
        <f t="shared" si="1"/>
        <v>Uniform Green</v>
      </c>
      <c r="C52" s="1" t="s">
        <v>16</v>
      </c>
      <c r="D52" s="8" t="s">
        <v>165</v>
      </c>
    </row>
    <row r="53" spans="1:4">
      <c r="A53" s="4" t="str">
        <f t="shared" si="0"/>
        <v>70.923</v>
      </c>
      <c r="B53" s="1" t="str">
        <f t="shared" si="1"/>
        <v>Japanese Uniform WWII</v>
      </c>
      <c r="C53" s="1" t="s">
        <v>38</v>
      </c>
      <c r="D53" s="8" t="s">
        <v>165</v>
      </c>
    </row>
    <row r="54" spans="1:4">
      <c r="A54" s="4" t="str">
        <f t="shared" si="0"/>
        <v>70.924</v>
      </c>
      <c r="B54" s="1" t="str">
        <f t="shared" si="1"/>
        <v>Russian Uniform WWII</v>
      </c>
      <c r="C54" s="1" t="s">
        <v>23</v>
      </c>
      <c r="D54" s="8" t="s">
        <v>165</v>
      </c>
    </row>
    <row r="55" spans="1:4">
      <c r="A55" s="4" t="str">
        <f t="shared" si="0"/>
        <v>70.940</v>
      </c>
      <c r="B55" s="1" t="str">
        <f t="shared" si="1"/>
        <v>Saddle Brown</v>
      </c>
      <c r="C55" s="1" t="s">
        <v>55</v>
      </c>
      <c r="D55" s="8" t="s">
        <v>165</v>
      </c>
    </row>
    <row r="56" spans="1:4">
      <c r="A56" s="4" t="str">
        <f t="shared" si="0"/>
        <v>70.941</v>
      </c>
      <c r="B56" s="1" t="str">
        <f t="shared" si="1"/>
        <v>Burnt Umber</v>
      </c>
      <c r="C56" s="1" t="s">
        <v>33</v>
      </c>
      <c r="D56" s="8" t="s">
        <v>165</v>
      </c>
    </row>
    <row r="57" spans="1:4">
      <c r="A57" s="4" t="str">
        <f t="shared" si="0"/>
        <v>70.947</v>
      </c>
      <c r="B57" s="1" t="str">
        <f t="shared" si="1"/>
        <v>Dark Vermilion</v>
      </c>
      <c r="C57" s="1" t="s">
        <v>5</v>
      </c>
      <c r="D57" s="8" t="s">
        <v>165</v>
      </c>
    </row>
    <row r="58" spans="1:4">
      <c r="A58" s="4" t="str">
        <f t="shared" si="0"/>
        <v>70.950</v>
      </c>
      <c r="B58" s="1" t="str">
        <f t="shared" si="1"/>
        <v>Black</v>
      </c>
      <c r="C58" s="1" t="s">
        <v>71</v>
      </c>
      <c r="D58" s="8" t="s">
        <v>165</v>
      </c>
    </row>
    <row r="59" spans="1:4">
      <c r="A59" s="4" t="str">
        <f t="shared" si="0"/>
        <v>70.951</v>
      </c>
      <c r="B59" s="1" t="str">
        <f t="shared" si="1"/>
        <v>White</v>
      </c>
      <c r="C59" s="1" t="s">
        <v>0</v>
      </c>
      <c r="D59" s="8" t="s">
        <v>165</v>
      </c>
    </row>
    <row r="60" spans="1:4">
      <c r="A60" s="4" t="str">
        <f t="shared" si="0"/>
        <v>70.953</v>
      </c>
      <c r="B60" s="1" t="str">
        <f t="shared" si="1"/>
        <v>Flat Yellow</v>
      </c>
      <c r="C60" s="1" t="s">
        <v>4</v>
      </c>
      <c r="D60" s="8" t="s">
        <v>165</v>
      </c>
    </row>
    <row r="61" spans="1:4">
      <c r="A61" s="4" t="str">
        <f t="shared" si="0"/>
        <v>70.955</v>
      </c>
      <c r="B61" s="1" t="str">
        <f t="shared" si="1"/>
        <v>Flat Flesh</v>
      </c>
      <c r="C61" s="1" t="s">
        <v>1</v>
      </c>
      <c r="D61" s="8" t="s">
        <v>165</v>
      </c>
    </row>
    <row r="62" spans="1:4">
      <c r="A62" s="4" t="str">
        <f t="shared" si="0"/>
        <v>70.965</v>
      </c>
      <c r="B62" s="1" t="str">
        <f t="shared" si="1"/>
        <v>Prussian Blue</v>
      </c>
      <c r="C62" s="1" t="s">
        <v>6</v>
      </c>
      <c r="D62" s="8" t="s">
        <v>165</v>
      </c>
    </row>
    <row r="63" spans="1:4">
      <c r="A63" s="4" t="str">
        <f t="shared" si="0"/>
        <v>70.967</v>
      </c>
      <c r="B63" s="1" t="str">
        <f t="shared" si="1"/>
        <v>Olive Green</v>
      </c>
      <c r="C63" s="1" t="s">
        <v>15</v>
      </c>
      <c r="D63" s="8" t="s">
        <v>165</v>
      </c>
    </row>
    <row r="64" spans="1:4">
      <c r="A64" s="4" t="str">
        <f t="shared" si="0"/>
        <v>70.971</v>
      </c>
      <c r="B64" s="1" t="str">
        <f t="shared" si="1"/>
        <v>Light Green Grey</v>
      </c>
      <c r="C64" s="1" t="s">
        <v>62</v>
      </c>
      <c r="D64" s="8" t="s">
        <v>165</v>
      </c>
    </row>
    <row r="65" spans="1:5">
      <c r="A65" s="4" t="str">
        <f t="shared" si="0"/>
        <v>70.972</v>
      </c>
      <c r="B65" s="1" t="str">
        <f t="shared" si="1"/>
        <v>Light Green Blue</v>
      </c>
      <c r="C65" s="1" t="s">
        <v>64</v>
      </c>
      <c r="D65" s="8" t="s">
        <v>165</v>
      </c>
    </row>
    <row r="66" spans="1:5">
      <c r="A66" s="4" t="str">
        <f t="shared" ref="A66:A125" si="2">LEFT(C66,6)</f>
        <v>70.975</v>
      </c>
      <c r="B66" s="1" t="str">
        <f t="shared" ref="B66:B86" si="3">MID(C66,8,999)</f>
        <v>Military Green</v>
      </c>
      <c r="C66" s="1" t="s">
        <v>18</v>
      </c>
      <c r="D66" s="8" t="s">
        <v>165</v>
      </c>
    </row>
    <row r="67" spans="1:5">
      <c r="A67" s="4" t="str">
        <f t="shared" si="2"/>
        <v>70.976</v>
      </c>
      <c r="B67" s="1" t="str">
        <f t="shared" si="3"/>
        <v>Buff</v>
      </c>
      <c r="C67" s="1" t="s">
        <v>36</v>
      </c>
      <c r="D67" s="8" t="s">
        <v>165</v>
      </c>
    </row>
    <row r="68" spans="1:5">
      <c r="A68" s="4" t="str">
        <f t="shared" si="2"/>
        <v>70.977</v>
      </c>
      <c r="B68" s="1" t="str">
        <f t="shared" si="3"/>
        <v>Desert Yellow</v>
      </c>
      <c r="C68" s="1" t="s">
        <v>51</v>
      </c>
      <c r="D68" s="8" t="s">
        <v>165</v>
      </c>
    </row>
    <row r="69" spans="1:5">
      <c r="A69" s="4" t="str">
        <f t="shared" si="2"/>
        <v>70.979</v>
      </c>
      <c r="B69" s="1" t="str">
        <f t="shared" si="3"/>
        <v>Camouflage Dark Green</v>
      </c>
      <c r="C69" s="1" t="s">
        <v>14</v>
      </c>
      <c r="D69" s="8" t="s">
        <v>165</v>
      </c>
    </row>
    <row r="70" spans="1:5">
      <c r="A70" s="4" t="str">
        <f t="shared" si="2"/>
        <v>70.980</v>
      </c>
      <c r="B70" s="1" t="str">
        <f t="shared" si="3"/>
        <v>Black Green</v>
      </c>
      <c r="C70" s="1" t="s">
        <v>9</v>
      </c>
      <c r="D70" s="8" t="s">
        <v>165</v>
      </c>
    </row>
    <row r="71" spans="1:5">
      <c r="A71" s="4" t="str">
        <f t="shared" si="2"/>
        <v>70.981</v>
      </c>
      <c r="B71" s="1" t="str">
        <f t="shared" si="3"/>
        <v>Orange Brown</v>
      </c>
      <c r="C71" s="1" t="s">
        <v>58</v>
      </c>
      <c r="D71" s="8" t="s">
        <v>165</v>
      </c>
    </row>
    <row r="72" spans="1:5">
      <c r="A72" s="4" t="str">
        <f t="shared" si="2"/>
        <v>70.982</v>
      </c>
      <c r="B72" s="1" t="str">
        <f t="shared" si="3"/>
        <v>Cavalry Brown</v>
      </c>
      <c r="C72" s="1" t="s">
        <v>59</v>
      </c>
      <c r="D72" s="8" t="s">
        <v>165</v>
      </c>
    </row>
    <row r="73" spans="1:5">
      <c r="A73" s="4" t="str">
        <f t="shared" si="2"/>
        <v>70.983</v>
      </c>
      <c r="B73" s="1" t="str">
        <f t="shared" si="3"/>
        <v>Flat Earth</v>
      </c>
      <c r="C73" s="1" t="s">
        <v>54</v>
      </c>
      <c r="D73" s="8" t="s">
        <v>165</v>
      </c>
    </row>
    <row r="74" spans="1:5">
      <c r="A74" s="4" t="str">
        <f t="shared" si="2"/>
        <v>70.984</v>
      </c>
      <c r="B74" s="1" t="str">
        <f t="shared" si="3"/>
        <v>Flat Brown</v>
      </c>
      <c r="C74" s="1" t="s">
        <v>57</v>
      </c>
      <c r="D74" s="8" t="s">
        <v>165</v>
      </c>
    </row>
    <row r="75" spans="1:5">
      <c r="A75" s="4" t="str">
        <f t="shared" si="2"/>
        <v>70.985</v>
      </c>
      <c r="B75" s="1" t="str">
        <f t="shared" si="3"/>
        <v>Hull Red</v>
      </c>
      <c r="C75" s="1" t="s">
        <v>61</v>
      </c>
      <c r="D75" s="8" t="s">
        <v>165</v>
      </c>
    </row>
    <row r="76" spans="1:5">
      <c r="A76" s="4" t="str">
        <f t="shared" si="2"/>
        <v>70.988</v>
      </c>
      <c r="B76" s="1" t="str">
        <f t="shared" si="3"/>
        <v>Khaki</v>
      </c>
      <c r="C76" s="1" t="s">
        <v>29</v>
      </c>
      <c r="D76" s="8" t="s">
        <v>165</v>
      </c>
    </row>
    <row r="77" spans="1:5">
      <c r="A77" s="4" t="str">
        <f t="shared" si="2"/>
        <v>70.995</v>
      </c>
      <c r="B77" s="1" t="str">
        <f t="shared" si="3"/>
        <v>German Grey</v>
      </c>
      <c r="C77" s="1" t="s">
        <v>70</v>
      </c>
      <c r="D77" s="8" t="s">
        <v>165</v>
      </c>
    </row>
    <row r="78" spans="1:5">
      <c r="A78" s="4" t="str">
        <f t="shared" si="2"/>
        <v>70.997</v>
      </c>
      <c r="B78" s="1" t="str">
        <f t="shared" si="3"/>
        <v>Silver</v>
      </c>
      <c r="C78" s="1" t="s">
        <v>72</v>
      </c>
      <c r="D78" s="8" t="s">
        <v>165</v>
      </c>
    </row>
    <row r="79" spans="1:5">
      <c r="A79" s="4" t="str">
        <f t="shared" si="2"/>
        <v>70.985</v>
      </c>
      <c r="B79" s="1" t="str">
        <f t="shared" si="3"/>
        <v>Hull Red (Model Color)</v>
      </c>
      <c r="C79" s="1" t="s">
        <v>270</v>
      </c>
      <c r="D79" s="8" t="s">
        <v>218</v>
      </c>
      <c r="E79" s="8"/>
    </row>
    <row r="80" spans="1:5">
      <c r="A80" s="4" t="str">
        <f t="shared" si="2"/>
        <v>71.129</v>
      </c>
      <c r="B80" s="1" t="str">
        <f t="shared" si="3"/>
        <v>Light Rust (Model Air)</v>
      </c>
      <c r="C80" s="1" t="s">
        <v>271</v>
      </c>
      <c r="D80" s="8" t="s">
        <v>218</v>
      </c>
      <c r="E80" s="8"/>
    </row>
    <row r="81" spans="1:5">
      <c r="A81" s="4" t="str">
        <f t="shared" si="2"/>
        <v>71.080</v>
      </c>
      <c r="B81" s="1" t="str">
        <f t="shared" si="3"/>
        <v>Rust (Model Air)</v>
      </c>
      <c r="C81" s="1" t="s">
        <v>273</v>
      </c>
      <c r="D81" s="8" t="s">
        <v>218</v>
      </c>
      <c r="E81" s="8"/>
    </row>
    <row r="82" spans="1:5">
      <c r="A82" s="4" t="str">
        <f t="shared" si="2"/>
        <v>71.042</v>
      </c>
      <c r="B82" s="1" t="str">
        <f t="shared" si="3"/>
        <v>Dark Brown RLM61 (Model Air)</v>
      </c>
      <c r="C82" s="1" t="s">
        <v>272</v>
      </c>
      <c r="D82" s="8" t="s">
        <v>218</v>
      </c>
    </row>
    <row r="83" spans="1:5">
      <c r="A83" s="4" t="str">
        <f t="shared" si="2"/>
        <v>74.506</v>
      </c>
      <c r="B83" s="1" t="str">
        <f t="shared" si="3"/>
        <v>Rust (Weathering Effects)</v>
      </c>
      <c r="C83" s="1" t="s">
        <v>274</v>
      </c>
      <c r="D83" s="8" t="s">
        <v>218</v>
      </c>
    </row>
    <row r="84" spans="1:5">
      <c r="A84" s="4" t="str">
        <f t="shared" si="2"/>
        <v>74.513</v>
      </c>
      <c r="B84" s="1" t="str">
        <f t="shared" si="3"/>
        <v>Brown (Weathering Effects)</v>
      </c>
      <c r="C84" s="1" t="s">
        <v>275</v>
      </c>
      <c r="D84" s="8" t="s">
        <v>218</v>
      </c>
    </row>
    <row r="85" spans="1:5">
      <c r="A85" s="4" t="str">
        <f t="shared" si="2"/>
        <v>74.521</v>
      </c>
      <c r="B85" s="1" t="str">
        <f t="shared" si="3"/>
        <v xml:space="preserve"> Oiled Earth (Weathering Effects)</v>
      </c>
      <c r="C85" s="1" t="s">
        <v>276</v>
      </c>
      <c r="D85" s="8" t="s">
        <v>218</v>
      </c>
    </row>
    <row r="86" spans="1:5">
      <c r="A86" s="4" t="str">
        <f t="shared" si="2"/>
        <v>74.506</v>
      </c>
      <c r="B86" s="1" t="str">
        <f t="shared" si="3"/>
        <v>Rust (Weathering Effects)</v>
      </c>
      <c r="C86" s="11" t="s">
        <v>268</v>
      </c>
      <c r="D86" s="8" t="s">
        <v>218</v>
      </c>
    </row>
    <row r="87" spans="1:5">
      <c r="A87" s="4" t="str">
        <f t="shared" si="2"/>
        <v>70.820</v>
      </c>
      <c r="B87" s="6" t="str">
        <f t="shared" ref="B87:B104" si="4">MID(C87,10,999)</f>
        <v>f-White</v>
      </c>
      <c r="C87" s="1" t="s">
        <v>220</v>
      </c>
      <c r="D87" s="8" t="s">
        <v>158</v>
      </c>
    </row>
    <row r="88" spans="1:5">
      <c r="A88" s="4" t="str">
        <f t="shared" si="2"/>
        <v>70.918</v>
      </c>
      <c r="B88" s="6" t="str">
        <f t="shared" si="4"/>
        <v>Ivory</v>
      </c>
      <c r="C88" s="1" t="s">
        <v>145</v>
      </c>
      <c r="D88" s="8" t="s">
        <v>158</v>
      </c>
    </row>
    <row r="89" spans="1:5">
      <c r="A89" s="4" t="str">
        <f t="shared" si="2"/>
        <v>70.911</v>
      </c>
      <c r="B89" s="6" t="str">
        <f t="shared" si="4"/>
        <v>Light Orange</v>
      </c>
      <c r="C89" s="1" t="s">
        <v>146</v>
      </c>
      <c r="D89" s="8" t="s">
        <v>158</v>
      </c>
    </row>
    <row r="90" spans="1:5">
      <c r="A90" s="4" t="str">
        <f t="shared" si="2"/>
        <v>70.986</v>
      </c>
      <c r="B90" s="6" t="str">
        <f t="shared" si="4"/>
        <v>Deck Tan</v>
      </c>
      <c r="C90" s="1" t="s">
        <v>148</v>
      </c>
      <c r="D90" s="8" t="s">
        <v>158</v>
      </c>
    </row>
    <row r="91" spans="1:5">
      <c r="A91" s="4" t="str">
        <f t="shared" si="2"/>
        <v>70.884</v>
      </c>
      <c r="B91" s="6" t="str">
        <f t="shared" si="4"/>
        <v>Stone Grey</v>
      </c>
      <c r="C91" s="1" t="s">
        <v>149</v>
      </c>
      <c r="D91" s="8" t="s">
        <v>158</v>
      </c>
    </row>
    <row r="92" spans="1:5">
      <c r="A92" s="4" t="str">
        <f t="shared" si="2"/>
        <v>70.987</v>
      </c>
      <c r="B92" s="6" t="str">
        <f t="shared" si="4"/>
        <v>Medium Grey</v>
      </c>
      <c r="C92" s="1" t="s">
        <v>150</v>
      </c>
      <c r="D92" s="8" t="s">
        <v>158</v>
      </c>
    </row>
    <row r="93" spans="1:5">
      <c r="A93" s="4" t="str">
        <f t="shared" si="2"/>
        <v>70.882</v>
      </c>
      <c r="B93" s="6" t="str">
        <f t="shared" si="4"/>
        <v>Middle Stone</v>
      </c>
      <c r="C93" s="1" t="s">
        <v>152</v>
      </c>
      <c r="D93" s="8" t="s">
        <v>158</v>
      </c>
    </row>
    <row r="94" spans="1:5">
      <c r="A94" s="4" t="str">
        <f t="shared" si="2"/>
        <v>70.819</v>
      </c>
      <c r="B94" s="6" t="str">
        <f t="shared" si="4"/>
        <v>Iraqi Sand</v>
      </c>
      <c r="C94" s="1" t="s">
        <v>153</v>
      </c>
      <c r="D94" s="8" t="s">
        <v>158</v>
      </c>
    </row>
    <row r="95" spans="1:5">
      <c r="A95" s="4" t="str">
        <f t="shared" si="2"/>
        <v>70.916</v>
      </c>
      <c r="B95" s="6" t="str">
        <f t="shared" si="4"/>
        <v>Sand Yellow</v>
      </c>
      <c r="C95" s="1" t="s">
        <v>154</v>
      </c>
      <c r="D95" s="8" t="s">
        <v>158</v>
      </c>
    </row>
    <row r="96" spans="1:5">
      <c r="A96" s="4" t="str">
        <f t="shared" si="2"/>
        <v>70.856</v>
      </c>
      <c r="B96" s="6" t="str">
        <f t="shared" si="4"/>
        <v>Ochre Brown</v>
      </c>
      <c r="C96" s="1" t="s">
        <v>156</v>
      </c>
      <c r="D96" s="8" t="s">
        <v>158</v>
      </c>
    </row>
    <row r="97" spans="1:4">
      <c r="A97" s="4" t="str">
        <f t="shared" si="2"/>
        <v>70.994</v>
      </c>
      <c r="B97" s="6" t="str">
        <f t="shared" si="4"/>
        <v>Dark Grey</v>
      </c>
      <c r="C97" s="1" t="s">
        <v>157</v>
      </c>
      <c r="D97" s="8" t="s">
        <v>158</v>
      </c>
    </row>
    <row r="98" spans="1:4">
      <c r="A98" s="4" t="str">
        <f t="shared" si="2"/>
        <v>70.824</v>
      </c>
      <c r="B98" s="6" t="str">
        <f t="shared" si="4"/>
        <v>German Camouflage Orange Ochre</v>
      </c>
      <c r="C98" s="1" t="s">
        <v>133</v>
      </c>
      <c r="D98" s="8" t="s">
        <v>143</v>
      </c>
    </row>
    <row r="99" spans="1:4">
      <c r="A99" s="4" t="str">
        <f t="shared" si="2"/>
        <v>70.825</v>
      </c>
      <c r="B99" s="6" t="str">
        <f t="shared" si="4"/>
        <v>German Camouflage Pale Brown</v>
      </c>
      <c r="C99" s="1" t="s">
        <v>134</v>
      </c>
      <c r="D99" s="8" t="s">
        <v>143</v>
      </c>
    </row>
    <row r="100" spans="1:4">
      <c r="A100" s="4" t="str">
        <f t="shared" si="2"/>
        <v>70.826</v>
      </c>
      <c r="B100" s="6" t="str">
        <f t="shared" si="4"/>
        <v>German Camouflage Medium Brown</v>
      </c>
      <c r="C100" s="1" t="s">
        <v>135</v>
      </c>
      <c r="D100" s="8" t="s">
        <v>143</v>
      </c>
    </row>
    <row r="101" spans="1:4">
      <c r="A101" s="4" t="str">
        <f t="shared" si="2"/>
        <v>70.833</v>
      </c>
      <c r="B101" s="6" t="str">
        <f t="shared" si="4"/>
        <v>German Camouflage Bright Green</v>
      </c>
      <c r="C101" s="1" t="s">
        <v>137</v>
      </c>
      <c r="D101" s="8" t="s">
        <v>143</v>
      </c>
    </row>
    <row r="102" spans="1:4">
      <c r="A102" s="4" t="str">
        <f t="shared" si="2"/>
        <v>70.835</v>
      </c>
      <c r="B102" s="6" t="str">
        <f t="shared" si="4"/>
        <v>Salmon Rose</v>
      </c>
      <c r="C102" s="1" t="s">
        <v>138</v>
      </c>
      <c r="D102" s="8" t="s">
        <v>143</v>
      </c>
    </row>
    <row r="103" spans="1:4">
      <c r="A103" s="4" t="str">
        <f t="shared" si="2"/>
        <v>70.964</v>
      </c>
      <c r="B103" s="6" t="str">
        <f t="shared" si="4"/>
        <v>Field Blue</v>
      </c>
      <c r="C103" s="1" t="s">
        <v>139</v>
      </c>
      <c r="D103" s="8" t="s">
        <v>143</v>
      </c>
    </row>
    <row r="104" spans="1:4">
      <c r="A104" s="4" t="str">
        <f t="shared" si="2"/>
        <v>70.969</v>
      </c>
      <c r="B104" s="6" t="str">
        <f t="shared" si="4"/>
        <v>Park Green Flat</v>
      </c>
      <c r="C104" s="1" t="s">
        <v>140</v>
      </c>
      <c r="D104" s="8" t="s">
        <v>143</v>
      </c>
    </row>
    <row r="105" spans="1:4">
      <c r="A105" s="4" t="str">
        <f t="shared" si="2"/>
        <v>70.805</v>
      </c>
      <c r="B105" s="6" t="str">
        <f t="shared" ref="B105:B140" si="5">MID(C105,10,999)</f>
        <v>German Orange</v>
      </c>
      <c r="C105" s="1" t="s">
        <v>113</v>
      </c>
      <c r="D105" s="8" t="s">
        <v>128</v>
      </c>
    </row>
    <row r="106" spans="1:4">
      <c r="A106" s="4" t="str">
        <f t="shared" si="2"/>
        <v>70.806</v>
      </c>
      <c r="B106" s="6" t="str">
        <f t="shared" si="5"/>
        <v>German Yellow</v>
      </c>
      <c r="C106" s="1" t="s">
        <v>114</v>
      </c>
      <c r="D106" s="8" t="s">
        <v>128</v>
      </c>
    </row>
    <row r="107" spans="1:4">
      <c r="A107" s="4" t="str">
        <f t="shared" si="2"/>
        <v>70.818</v>
      </c>
      <c r="B107" s="6" t="str">
        <f t="shared" si="5"/>
        <v>Red Leather</v>
      </c>
      <c r="C107" s="1" t="s">
        <v>115</v>
      </c>
      <c r="D107" s="8" t="s">
        <v>128</v>
      </c>
    </row>
    <row r="108" spans="1:4">
      <c r="A108" s="4" t="str">
        <f t="shared" si="2"/>
        <v>70.845</v>
      </c>
      <c r="B108" s="6" t="str">
        <f t="shared" si="5"/>
        <v>Sunny Skin Tone</v>
      </c>
      <c r="C108" s="1" t="s">
        <v>116</v>
      </c>
      <c r="D108" s="8" t="s">
        <v>128</v>
      </c>
    </row>
    <row r="109" spans="1:4">
      <c r="A109" s="4" t="str">
        <f t="shared" si="2"/>
        <v>70.861</v>
      </c>
      <c r="B109" s="6" t="str">
        <f t="shared" si="5"/>
        <v>Glossy Black</v>
      </c>
      <c r="C109" s="1" t="s">
        <v>117</v>
      </c>
      <c r="D109" s="8" t="s">
        <v>128</v>
      </c>
    </row>
    <row r="110" spans="1:4">
      <c r="A110" s="4" t="str">
        <f t="shared" si="2"/>
        <v>70.912</v>
      </c>
      <c r="B110" s="6" t="str">
        <f t="shared" si="5"/>
        <v>Tan Yellow</v>
      </c>
      <c r="C110" s="1" t="s">
        <v>120</v>
      </c>
      <c r="D110" s="8" t="s">
        <v>128</v>
      </c>
    </row>
    <row r="111" spans="1:4">
      <c r="A111" s="4" t="str">
        <f t="shared" si="2"/>
        <v>70.920</v>
      </c>
      <c r="B111" s="6" t="str">
        <f t="shared" si="5"/>
        <v>German Uniform</v>
      </c>
      <c r="C111" s="1" t="s">
        <v>121</v>
      </c>
      <c r="D111" s="8" t="s">
        <v>128</v>
      </c>
    </row>
    <row r="112" spans="1:4">
      <c r="A112" s="4" t="str">
        <f t="shared" si="2"/>
        <v>70.946</v>
      </c>
      <c r="B112" s="6" t="str">
        <f t="shared" si="5"/>
        <v>Dark Red</v>
      </c>
      <c r="C112" s="1" t="s">
        <v>122</v>
      </c>
      <c r="D112" s="8" t="s">
        <v>128</v>
      </c>
    </row>
    <row r="113" spans="1:4">
      <c r="A113" s="4" t="str">
        <f t="shared" si="2"/>
        <v>70.992</v>
      </c>
      <c r="B113" s="6" t="str">
        <f t="shared" si="5"/>
        <v>Neutral Grey</v>
      </c>
      <c r="C113" s="1" t="s">
        <v>125</v>
      </c>
      <c r="D113" s="8" t="s">
        <v>128</v>
      </c>
    </row>
    <row r="114" spans="1:4">
      <c r="A114" s="4" t="str">
        <f t="shared" si="2"/>
        <v>70.913</v>
      </c>
      <c r="B114" s="6" t="str">
        <f t="shared" si="5"/>
        <v>llow Ochre</v>
      </c>
      <c r="C114" s="1" t="s">
        <v>80</v>
      </c>
      <c r="D114" s="8" t="s">
        <v>111</v>
      </c>
    </row>
    <row r="115" spans="1:4">
      <c r="A115" s="4" t="str">
        <f t="shared" si="2"/>
        <v>70.883</v>
      </c>
      <c r="B115" s="6" t="str">
        <f t="shared" si="5"/>
        <v>Zilver Grijs</v>
      </c>
      <c r="C115" s="1" t="s">
        <v>166</v>
      </c>
      <c r="D115" s="8" t="s">
        <v>84</v>
      </c>
    </row>
    <row r="116" spans="1:4">
      <c r="A116" s="4" t="str">
        <f t="shared" si="2"/>
        <v>70.803</v>
      </c>
      <c r="B116" s="6" t="str">
        <f t="shared" si="5"/>
        <v>Brown Rose</v>
      </c>
      <c r="C116" s="1" t="s">
        <v>175</v>
      </c>
      <c r="D116" s="8" t="s">
        <v>188</v>
      </c>
    </row>
    <row r="117" spans="1:4">
      <c r="A117" s="4" t="str">
        <f t="shared" si="2"/>
        <v>70.815</v>
      </c>
      <c r="B117" s="6" t="str">
        <f t="shared" si="5"/>
        <v>Basic Skintone</v>
      </c>
      <c r="C117" s="1" t="s">
        <v>176</v>
      </c>
      <c r="D117" s="8" t="s">
        <v>188</v>
      </c>
    </row>
    <row r="118" spans="1:4">
      <c r="A118" s="4" t="str">
        <f t="shared" si="2"/>
        <v>70.860</v>
      </c>
      <c r="B118" s="6" t="str">
        <f t="shared" si="5"/>
        <v>Medium Fleshtone</v>
      </c>
      <c r="C118" s="1" t="s">
        <v>179</v>
      </c>
      <c r="D118" s="8" t="s">
        <v>188</v>
      </c>
    </row>
    <row r="119" spans="1:4">
      <c r="A119" s="4" t="str">
        <f t="shared" si="2"/>
        <v>70.909</v>
      </c>
      <c r="B119" s="6" t="str">
        <f t="shared" si="5"/>
        <v>Vermillion</v>
      </c>
      <c r="C119" s="1" t="s">
        <v>181</v>
      </c>
      <c r="D119" s="8" t="s">
        <v>188</v>
      </c>
    </row>
    <row r="120" spans="1:4">
      <c r="A120" s="4" t="str">
        <f t="shared" si="2"/>
        <v>70.927</v>
      </c>
      <c r="B120" s="6" t="str">
        <f t="shared" si="5"/>
        <v>Dark Flesh</v>
      </c>
      <c r="C120" s="1" t="s">
        <v>184</v>
      </c>
      <c r="D120" s="8" t="s">
        <v>188</v>
      </c>
    </row>
    <row r="121" spans="1:4" ht="17" customHeight="1">
      <c r="A121" s="4" t="str">
        <f t="shared" si="2"/>
        <v>70.928</v>
      </c>
      <c r="B121" s="6" t="str">
        <f t="shared" si="5"/>
        <v>Light Flesh</v>
      </c>
      <c r="C121" s="1" t="s">
        <v>185</v>
      </c>
      <c r="D121" s="8" t="s">
        <v>188</v>
      </c>
    </row>
    <row r="122" spans="1:4">
      <c r="A122" s="4" t="str">
        <f t="shared" si="2"/>
        <v>70.889</v>
      </c>
      <c r="B122" s="6" t="str">
        <f t="shared" si="5"/>
        <v>Olive Brown</v>
      </c>
      <c r="C122" s="1" t="s">
        <v>191</v>
      </c>
      <c r="D122" s="8" t="s">
        <v>195</v>
      </c>
    </row>
    <row r="123" spans="1:4">
      <c r="A123" s="4" t="str">
        <f t="shared" si="2"/>
        <v>70.862</v>
      </c>
      <c r="B123" s="6" t="str">
        <f t="shared" si="5"/>
        <v>Black Grey</v>
      </c>
      <c r="C123" s="1" t="s">
        <v>194</v>
      </c>
      <c r="D123" s="8" t="s">
        <v>195</v>
      </c>
    </row>
    <row r="124" spans="1:4">
      <c r="A124" s="4" t="str">
        <f t="shared" si="2"/>
        <v>76.813</v>
      </c>
      <c r="B124" s="6" t="str">
        <f t="shared" si="5"/>
        <v>Oil Stains</v>
      </c>
      <c r="C124" s="1" t="s">
        <v>222</v>
      </c>
      <c r="D124" s="8" t="s">
        <v>225</v>
      </c>
    </row>
    <row r="125" spans="1:4">
      <c r="A125" s="4" t="str">
        <f t="shared" si="2"/>
        <v>76.817</v>
      </c>
      <c r="B125" s="6" t="str">
        <f t="shared" si="5"/>
        <v>Petrol Spills</v>
      </c>
      <c r="C125" s="1" t="s">
        <v>223</v>
      </c>
      <c r="D125" s="8" t="s">
        <v>225</v>
      </c>
    </row>
    <row r="126" spans="1:4">
      <c r="A126" s="4" t="str">
        <f t="shared" ref="A126:A141" si="6">LEFT(C126,6)</f>
        <v>76.818</v>
      </c>
      <c r="B126" s="6" t="str">
        <f t="shared" si="5"/>
        <v>Brown Engine Soot</v>
      </c>
      <c r="C126" s="1" t="s">
        <v>224</v>
      </c>
      <c r="D126" s="8" t="s">
        <v>225</v>
      </c>
    </row>
    <row r="127" spans="1:4">
      <c r="A127" s="4" t="str">
        <f t="shared" si="6"/>
        <v>70.865</v>
      </c>
      <c r="B127" s="6" t="str">
        <f t="shared" si="5"/>
        <v>Oily Steel</v>
      </c>
      <c r="C127" s="1" t="s">
        <v>226</v>
      </c>
      <c r="D127" s="8" t="s">
        <v>229</v>
      </c>
    </row>
    <row r="128" spans="1:4">
      <c r="A128" s="4" t="str">
        <f t="shared" si="6"/>
        <v>73.200</v>
      </c>
      <c r="B128" s="6" t="str">
        <f t="shared" si="5"/>
        <v>Sepia Wash</v>
      </c>
      <c r="C128" s="1" t="s">
        <v>227</v>
      </c>
      <c r="D128" s="8" t="s">
        <v>229</v>
      </c>
    </row>
    <row r="129" spans="1:4">
      <c r="A129" s="4" t="str">
        <f t="shared" si="6"/>
        <v>73.201</v>
      </c>
      <c r="B129" s="6" t="str">
        <f t="shared" si="5"/>
        <v>Black Wash</v>
      </c>
      <c r="C129" s="1" t="s">
        <v>228</v>
      </c>
      <c r="D129" s="8" t="s">
        <v>229</v>
      </c>
    </row>
    <row r="130" spans="1:4">
      <c r="A130" s="4" t="str">
        <f t="shared" si="6"/>
        <v>71.009</v>
      </c>
      <c r="B130" s="6" t="str">
        <f t="shared" si="5"/>
        <v>Eau de Nil “D. E. Green”</v>
      </c>
      <c r="C130" s="1" t="s">
        <v>230</v>
      </c>
      <c r="D130" s="8" t="s">
        <v>238</v>
      </c>
    </row>
    <row r="131" spans="1:4">
      <c r="A131" s="4" t="str">
        <f t="shared" si="6"/>
        <v>71.106</v>
      </c>
      <c r="B131" s="6" t="str">
        <f t="shared" si="5"/>
        <v>Ivory RLM05</v>
      </c>
      <c r="C131" s="1" t="s">
        <v>231</v>
      </c>
      <c r="D131" s="8" t="s">
        <v>238</v>
      </c>
    </row>
    <row r="132" spans="1:4">
      <c r="A132" s="4" t="str">
        <f t="shared" si="6"/>
        <v>71.137</v>
      </c>
      <c r="B132" s="6" t="str">
        <f t="shared" si="5"/>
        <v>US Light Green</v>
      </c>
      <c r="C132" s="1" t="s">
        <v>232</v>
      </c>
      <c r="D132" s="8" t="s">
        <v>238</v>
      </c>
    </row>
    <row r="133" spans="1:4">
      <c r="A133" s="4" t="str">
        <f t="shared" si="6"/>
        <v>71.045</v>
      </c>
      <c r="B133" s="6" t="str">
        <f t="shared" si="5"/>
        <v>Cement Grey</v>
      </c>
      <c r="C133" s="1" t="s">
        <v>233</v>
      </c>
      <c r="D133" s="8" t="s">
        <v>238</v>
      </c>
    </row>
    <row r="134" spans="1:4">
      <c r="A134" s="4" t="str">
        <f t="shared" si="6"/>
        <v>71.014</v>
      </c>
      <c r="B134" s="6" t="str">
        <f t="shared" si="5"/>
        <v>Gunship Green</v>
      </c>
      <c r="C134" s="1" t="s">
        <v>234</v>
      </c>
      <c r="D134" s="8" t="s">
        <v>238</v>
      </c>
    </row>
    <row r="135" spans="1:4">
      <c r="A135" s="4" t="str">
        <f t="shared" si="6"/>
        <v>71.012</v>
      </c>
      <c r="B135" s="6" t="str">
        <f t="shared" si="5"/>
        <v>Dark Green</v>
      </c>
      <c r="C135" s="1" t="s">
        <v>235</v>
      </c>
      <c r="D135" s="8" t="s">
        <v>238</v>
      </c>
    </row>
    <row r="136" spans="1:4">
      <c r="A136" s="4" t="str">
        <f t="shared" si="6"/>
        <v>71.018</v>
      </c>
      <c r="B136" s="6" t="str">
        <f t="shared" si="5"/>
        <v>Black Green</v>
      </c>
      <c r="C136" s="1" t="s">
        <v>236</v>
      </c>
      <c r="D136" s="8" t="s">
        <v>238</v>
      </c>
    </row>
    <row r="137" spans="1:4">
      <c r="A137" s="4" t="str">
        <f t="shared" si="6"/>
        <v>70.057</v>
      </c>
      <c r="B137" s="6" t="str">
        <f t="shared" si="5"/>
        <v>Black</v>
      </c>
      <c r="C137" s="1" t="s">
        <v>237</v>
      </c>
      <c r="D137" s="8" t="s">
        <v>238</v>
      </c>
    </row>
    <row r="138" spans="1:4">
      <c r="A138" s="4" t="str">
        <f t="shared" si="6"/>
        <v>70855</v>
      </c>
      <c r="B138" s="1" t="str">
        <f>MID(C138,10,999)</f>
        <v/>
      </c>
      <c r="C138" s="14">
        <v>70855</v>
      </c>
      <c r="D138" s="8" t="s">
        <v>350</v>
      </c>
    </row>
    <row r="139" spans="1:4">
      <c r="A139" s="1" t="str">
        <f t="shared" si="6"/>
        <v>70.889</v>
      </c>
      <c r="B139" s="1" t="str">
        <f t="shared" si="5"/>
        <v>Olive Brown</v>
      </c>
      <c r="C139" s="12" t="s">
        <v>191</v>
      </c>
      <c r="D139" s="8" t="s">
        <v>350</v>
      </c>
    </row>
    <row r="140" spans="1:4">
      <c r="A140" s="1" t="str">
        <f t="shared" si="6"/>
        <v>70.901</v>
      </c>
      <c r="B140" s="1" t="str">
        <f t="shared" si="5"/>
        <v>sky blue</v>
      </c>
      <c r="C140" s="12" t="s">
        <v>601</v>
      </c>
      <c r="D140" s="8" t="s">
        <v>350</v>
      </c>
    </row>
    <row r="141" spans="1:4">
      <c r="A141" s="1" t="str">
        <f t="shared" si="6"/>
        <v>70.913</v>
      </c>
      <c r="B141" s="1" t="str">
        <f>MID(C141,8,999)</f>
        <v>Yellow Ochre</v>
      </c>
      <c r="C141" s="12" t="s">
        <v>80</v>
      </c>
      <c r="D141" s="8" t="s">
        <v>350</v>
      </c>
    </row>
    <row r="142" spans="1:4">
      <c r="A142" s="1" t="str">
        <f>LEFT(C142,6)</f>
        <v>70.921</v>
      </c>
      <c r="B142" s="1" t="str">
        <f>MID(C142,8,999)</f>
        <v>English Uniform</v>
      </c>
      <c r="C142" s="12" t="s">
        <v>40</v>
      </c>
      <c r="D142" s="8" t="s">
        <v>350</v>
      </c>
    </row>
    <row r="143" spans="1:4">
      <c r="A143" s="1" t="str">
        <f>LEFT(C143,6)</f>
        <v>70.923</v>
      </c>
      <c r="B143" s="1" t="str">
        <f>MID(C143,8,999)</f>
        <v>Japanese Uniform WWII</v>
      </c>
      <c r="C143" s="12" t="s">
        <v>38</v>
      </c>
      <c r="D143" s="8" t="s">
        <v>350</v>
      </c>
    </row>
  </sheetData>
  <autoFilter ref="A1:C141" xr:uid="{698D380E-185F-AF4F-B85F-5B8B53DEFC92}"/>
  <conditionalFormatting sqref="A144:A1048576 A1:A138">
    <cfRule type="duplicateValues" dxfId="27" priority="27"/>
  </conditionalFormatting>
  <conditionalFormatting sqref="A144:XFD1048576 A1:XFD1 A2:C78 E6:XFD76 F2:XFD5 E116:XFD121 F77:XFD86 A79:B86 E124:XFD143 A79:A138">
    <cfRule type="duplicateValues" dxfId="26" priority="28"/>
  </conditionalFormatting>
  <conditionalFormatting sqref="C87:C137">
    <cfRule type="duplicateValues" dxfId="25" priority="4"/>
  </conditionalFormatting>
  <conditionalFormatting sqref="C144:C1048576 C87:C137 C1:C78 A139:C143 B138:C138">
    <cfRule type="duplicateValues" dxfId="24" priority="29"/>
  </conditionalFormatting>
  <conditionalFormatting sqref="E4">
    <cfRule type="duplicateValues" dxfId="23" priority="12"/>
  </conditionalFormatting>
  <conditionalFormatting sqref="E89:XFD97 F87:XFD88 B87:B137">
    <cfRule type="duplicateValues" dxfId="22" priority="382"/>
  </conditionalFormatting>
  <conditionalFormatting sqref="E98:XFD104">
    <cfRule type="duplicateValues" dxfId="21" priority="127"/>
  </conditionalFormatting>
  <conditionalFormatting sqref="E105:XFD113">
    <cfRule type="duplicateValues" dxfId="20" priority="168"/>
  </conditionalFormatting>
  <conditionalFormatting sqref="E114:XFD114">
    <cfRule type="duplicateValues" dxfId="19" priority="194"/>
  </conditionalFormatting>
  <conditionalFormatting sqref="E115:XFD115">
    <cfRule type="duplicateValues" dxfId="18" priority="220"/>
  </conditionalFormatting>
  <conditionalFormatting sqref="E122:XFD123">
    <cfRule type="duplicateValues" dxfId="17" priority="338"/>
  </conditionalFormatting>
  <conditionalFormatting sqref="C79:C85">
    <cfRule type="duplicateValues" dxfId="16" priority="423"/>
    <cfRule type="duplicateValues" dxfId="15" priority="424"/>
  </conditionalFormatting>
  <conditionalFormatting sqref="A139:C143 B138:C138">
    <cfRule type="duplicateValues" dxfId="14" priority="441"/>
  </conditionalFormatting>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C98-92BD-F546-98C6-9E8E491D5E4F}">
  <sheetPr codeName="Blad3"/>
  <dimension ref="A1:D126"/>
  <sheetViews>
    <sheetView topLeftCell="A97" workbookViewId="0">
      <selection activeCell="A52" sqref="A52:XFD52"/>
    </sheetView>
  </sheetViews>
  <sheetFormatPr baseColWidth="10" defaultRowHeight="16"/>
  <cols>
    <col min="1" max="1" width="7.6640625" bestFit="1" customWidth="1"/>
    <col min="2" max="2" width="27.33203125" bestFit="1" customWidth="1"/>
    <col min="3" max="3" width="17.1640625" bestFit="1" customWidth="1"/>
    <col min="4" max="4" width="24.1640625" bestFit="1" customWidth="1"/>
  </cols>
  <sheetData>
    <row r="1" spans="1:4">
      <c r="A1" t="s">
        <v>351</v>
      </c>
      <c r="B1" t="s">
        <v>352</v>
      </c>
      <c r="C1" t="s">
        <v>353</v>
      </c>
      <c r="D1" t="s">
        <v>354</v>
      </c>
    </row>
    <row r="2" spans="1:4">
      <c r="A2" s="13">
        <v>70951</v>
      </c>
      <c r="B2" t="s">
        <v>328</v>
      </c>
      <c r="C2" t="s">
        <v>355</v>
      </c>
      <c r="D2" t="s">
        <v>356</v>
      </c>
    </row>
    <row r="3" spans="1:4">
      <c r="A3" s="13">
        <v>70950</v>
      </c>
      <c r="B3" t="s">
        <v>327</v>
      </c>
      <c r="C3" t="s">
        <v>347</v>
      </c>
      <c r="D3" t="s">
        <v>357</v>
      </c>
    </row>
    <row r="4" spans="1:4">
      <c r="A4" s="13">
        <v>70952</v>
      </c>
      <c r="B4" t="s">
        <v>358</v>
      </c>
      <c r="C4" t="s">
        <v>359</v>
      </c>
      <c r="D4" t="s">
        <v>360</v>
      </c>
    </row>
    <row r="5" spans="1:4">
      <c r="A5" s="13">
        <v>70953</v>
      </c>
      <c r="B5" t="s">
        <v>329</v>
      </c>
      <c r="C5" t="s">
        <v>359</v>
      </c>
      <c r="D5" t="s">
        <v>361</v>
      </c>
    </row>
    <row r="6" spans="1:4">
      <c r="A6" s="13">
        <v>70954</v>
      </c>
      <c r="B6" t="s">
        <v>362</v>
      </c>
      <c r="C6" t="s">
        <v>363</v>
      </c>
      <c r="D6" t="s">
        <v>364</v>
      </c>
    </row>
    <row r="7" spans="1:4">
      <c r="A7" s="13">
        <v>70955</v>
      </c>
      <c r="B7" t="s">
        <v>330</v>
      </c>
      <c r="C7" t="s">
        <v>365</v>
      </c>
      <c r="D7" t="s">
        <v>366</v>
      </c>
    </row>
    <row r="8" spans="1:4">
      <c r="A8" s="13">
        <v>70956</v>
      </c>
      <c r="B8" t="s">
        <v>367</v>
      </c>
      <c r="C8" t="s">
        <v>368</v>
      </c>
      <c r="D8" t="s">
        <v>369</v>
      </c>
    </row>
    <row r="9" spans="1:4">
      <c r="A9" s="13">
        <v>70957</v>
      </c>
      <c r="B9" t="s">
        <v>370</v>
      </c>
      <c r="C9" t="s">
        <v>371</v>
      </c>
      <c r="D9" t="s">
        <v>372</v>
      </c>
    </row>
    <row r="10" spans="1:4">
      <c r="A10" s="13">
        <v>70958</v>
      </c>
      <c r="B10" t="s">
        <v>373</v>
      </c>
      <c r="C10" t="s">
        <v>374</v>
      </c>
      <c r="D10" t="s">
        <v>375</v>
      </c>
    </row>
    <row r="11" spans="1:4">
      <c r="A11" s="13">
        <v>70959</v>
      </c>
      <c r="B11" t="s">
        <v>376</v>
      </c>
      <c r="C11" t="s">
        <v>377</v>
      </c>
      <c r="D11" t="s">
        <v>378</v>
      </c>
    </row>
    <row r="12" spans="1:4">
      <c r="A12" s="13">
        <v>70960</v>
      </c>
      <c r="B12" t="s">
        <v>379</v>
      </c>
      <c r="C12" t="s">
        <v>377</v>
      </c>
      <c r="D12" t="s">
        <v>380</v>
      </c>
    </row>
    <row r="13" spans="1:4">
      <c r="A13" s="13">
        <v>70961</v>
      </c>
      <c r="B13" t="s">
        <v>381</v>
      </c>
      <c r="C13" t="s">
        <v>382</v>
      </c>
      <c r="D13" t="s">
        <v>383</v>
      </c>
    </row>
    <row r="14" spans="1:4">
      <c r="A14" s="13">
        <v>70962</v>
      </c>
      <c r="B14" t="s">
        <v>384</v>
      </c>
      <c r="C14" t="s">
        <v>382</v>
      </c>
      <c r="D14" t="s">
        <v>385</v>
      </c>
    </row>
    <row r="15" spans="1:4">
      <c r="A15" s="13">
        <v>70963</v>
      </c>
      <c r="B15" t="s">
        <v>386</v>
      </c>
      <c r="C15" t="s">
        <v>382</v>
      </c>
      <c r="D15" t="s">
        <v>387</v>
      </c>
    </row>
    <row r="16" spans="1:4">
      <c r="A16" s="13">
        <v>70964</v>
      </c>
      <c r="B16" t="s">
        <v>388</v>
      </c>
      <c r="C16" t="s">
        <v>389</v>
      </c>
      <c r="D16" t="s">
        <v>390</v>
      </c>
    </row>
    <row r="17" spans="1:4">
      <c r="A17" s="13">
        <v>70965</v>
      </c>
      <c r="B17" t="s">
        <v>331</v>
      </c>
      <c r="C17" t="s">
        <v>382</v>
      </c>
      <c r="D17" t="s">
        <v>391</v>
      </c>
    </row>
    <row r="18" spans="1:4">
      <c r="A18" s="13">
        <v>70966</v>
      </c>
      <c r="B18" t="s">
        <v>392</v>
      </c>
      <c r="C18" t="s">
        <v>393</v>
      </c>
      <c r="D18" t="s">
        <v>394</v>
      </c>
    </row>
    <row r="19" spans="1:4">
      <c r="A19" s="13">
        <v>70967</v>
      </c>
      <c r="B19" t="s">
        <v>332</v>
      </c>
      <c r="C19" t="s">
        <v>395</v>
      </c>
      <c r="D19" t="s">
        <v>396</v>
      </c>
    </row>
    <row r="20" spans="1:4">
      <c r="A20" s="13">
        <v>70968</v>
      </c>
      <c r="B20" t="s">
        <v>397</v>
      </c>
      <c r="C20" t="s">
        <v>395</v>
      </c>
      <c r="D20" t="s">
        <v>398</v>
      </c>
    </row>
    <row r="21" spans="1:4">
      <c r="A21" s="13">
        <v>70969</v>
      </c>
      <c r="B21" t="s">
        <v>399</v>
      </c>
      <c r="C21" t="s">
        <v>395</v>
      </c>
      <c r="D21" t="s">
        <v>400</v>
      </c>
    </row>
    <row r="22" spans="1:4">
      <c r="A22" s="13">
        <v>70970</v>
      </c>
      <c r="B22" t="s">
        <v>401</v>
      </c>
      <c r="C22" t="s">
        <v>395</v>
      </c>
      <c r="D22" t="s">
        <v>402</v>
      </c>
    </row>
    <row r="23" spans="1:4">
      <c r="A23" s="13">
        <v>70971</v>
      </c>
      <c r="B23" t="s">
        <v>311</v>
      </c>
      <c r="C23" t="s">
        <v>403</v>
      </c>
      <c r="D23" t="s">
        <v>404</v>
      </c>
    </row>
    <row r="24" spans="1:4">
      <c r="A24" s="13">
        <v>70972</v>
      </c>
      <c r="B24" t="s">
        <v>405</v>
      </c>
      <c r="C24" t="s">
        <v>395</v>
      </c>
      <c r="D24" t="s">
        <v>406</v>
      </c>
    </row>
    <row r="25" spans="1:4">
      <c r="A25" s="13">
        <v>70973</v>
      </c>
      <c r="B25" t="s">
        <v>407</v>
      </c>
      <c r="C25" t="s">
        <v>408</v>
      </c>
      <c r="D25" t="s">
        <v>409</v>
      </c>
    </row>
    <row r="26" spans="1:4">
      <c r="A26" s="13">
        <v>70974</v>
      </c>
      <c r="B26" t="s">
        <v>410</v>
      </c>
      <c r="C26" t="s">
        <v>395</v>
      </c>
      <c r="D26" t="s">
        <v>411</v>
      </c>
    </row>
    <row r="27" spans="1:4">
      <c r="A27" s="13">
        <v>70975</v>
      </c>
      <c r="B27" t="s">
        <v>335</v>
      </c>
      <c r="C27" t="s">
        <v>412</v>
      </c>
      <c r="D27" t="s">
        <v>413</v>
      </c>
    </row>
    <row r="28" spans="1:4">
      <c r="A28" s="13">
        <v>70976</v>
      </c>
      <c r="B28" t="s">
        <v>336</v>
      </c>
      <c r="C28" t="s">
        <v>414</v>
      </c>
      <c r="D28" t="s">
        <v>415</v>
      </c>
    </row>
    <row r="29" spans="1:4">
      <c r="A29" s="13">
        <v>70977</v>
      </c>
      <c r="B29" t="s">
        <v>337</v>
      </c>
      <c r="C29" t="s">
        <v>416</v>
      </c>
      <c r="D29" t="s">
        <v>417</v>
      </c>
    </row>
    <row r="30" spans="1:4">
      <c r="A30" s="13">
        <v>70978</v>
      </c>
      <c r="B30" t="s">
        <v>418</v>
      </c>
      <c r="C30" t="s">
        <v>359</v>
      </c>
      <c r="D30" t="s">
        <v>419</v>
      </c>
    </row>
    <row r="31" spans="1:4">
      <c r="A31" s="13">
        <v>70979</v>
      </c>
      <c r="B31" t="s">
        <v>420</v>
      </c>
      <c r="C31" t="s">
        <v>412</v>
      </c>
      <c r="D31" t="s">
        <v>421</v>
      </c>
    </row>
    <row r="32" spans="1:4">
      <c r="A32" s="13">
        <v>70980</v>
      </c>
      <c r="B32" t="s">
        <v>338</v>
      </c>
      <c r="C32" t="s">
        <v>422</v>
      </c>
      <c r="D32" t="s">
        <v>423</v>
      </c>
    </row>
    <row r="33" spans="1:4">
      <c r="A33" s="13">
        <v>70981</v>
      </c>
      <c r="B33" t="s">
        <v>339</v>
      </c>
      <c r="C33" t="s">
        <v>424</v>
      </c>
      <c r="D33" t="s">
        <v>425</v>
      </c>
    </row>
    <row r="34" spans="1:4">
      <c r="A34" s="13">
        <v>70982</v>
      </c>
      <c r="B34" t="s">
        <v>340</v>
      </c>
      <c r="C34" t="s">
        <v>426</v>
      </c>
      <c r="D34" t="s">
        <v>427</v>
      </c>
    </row>
    <row r="35" spans="1:4">
      <c r="A35" s="13">
        <v>70983</v>
      </c>
      <c r="B35" t="s">
        <v>341</v>
      </c>
      <c r="C35" t="s">
        <v>428</v>
      </c>
      <c r="D35" t="s">
        <v>429</v>
      </c>
    </row>
    <row r="36" spans="1:4">
      <c r="A36" s="13">
        <v>70984</v>
      </c>
      <c r="B36" t="s">
        <v>342</v>
      </c>
      <c r="C36" t="s">
        <v>428</v>
      </c>
      <c r="D36" t="s">
        <v>430</v>
      </c>
    </row>
    <row r="37" spans="1:4">
      <c r="A37" s="13">
        <v>70985</v>
      </c>
      <c r="B37" t="s">
        <v>343</v>
      </c>
      <c r="C37" t="s">
        <v>431</v>
      </c>
      <c r="D37" t="s">
        <v>432</v>
      </c>
    </row>
    <row r="38" spans="1:4">
      <c r="A38" s="13">
        <v>70986</v>
      </c>
      <c r="B38" t="s">
        <v>433</v>
      </c>
      <c r="C38" t="s">
        <v>414</v>
      </c>
      <c r="D38" t="s">
        <v>434</v>
      </c>
    </row>
    <row r="39" spans="1:4">
      <c r="A39" s="13">
        <v>70987</v>
      </c>
      <c r="B39" t="s">
        <v>435</v>
      </c>
      <c r="C39" t="s">
        <v>408</v>
      </c>
      <c r="D39" t="s">
        <v>436</v>
      </c>
    </row>
    <row r="40" spans="1:4">
      <c r="A40" s="13">
        <v>70988</v>
      </c>
      <c r="B40" t="s">
        <v>344</v>
      </c>
      <c r="C40" t="s">
        <v>344</v>
      </c>
      <c r="D40" t="s">
        <v>437</v>
      </c>
    </row>
    <row r="41" spans="1:4">
      <c r="A41" s="13">
        <v>70989</v>
      </c>
      <c r="B41" t="s">
        <v>438</v>
      </c>
      <c r="C41" t="s">
        <v>408</v>
      </c>
      <c r="D41" t="s">
        <v>439</v>
      </c>
    </row>
    <row r="42" spans="1:4">
      <c r="A42" s="13">
        <v>70990</v>
      </c>
      <c r="B42" t="s">
        <v>440</v>
      </c>
      <c r="C42" t="s">
        <v>408</v>
      </c>
      <c r="D42" t="s">
        <v>441</v>
      </c>
    </row>
    <row r="43" spans="1:4">
      <c r="A43" s="13">
        <v>70991</v>
      </c>
      <c r="B43" t="s">
        <v>442</v>
      </c>
      <c r="C43" t="s">
        <v>408</v>
      </c>
      <c r="D43" t="s">
        <v>443</v>
      </c>
    </row>
    <row r="44" spans="1:4">
      <c r="A44" s="13">
        <v>70992</v>
      </c>
      <c r="B44" t="s">
        <v>444</v>
      </c>
      <c r="C44" t="s">
        <v>408</v>
      </c>
      <c r="D44" t="s">
        <v>445</v>
      </c>
    </row>
    <row r="45" spans="1:4">
      <c r="A45" s="13">
        <v>70993</v>
      </c>
      <c r="B45" t="s">
        <v>446</v>
      </c>
      <c r="C45" t="s">
        <v>408</v>
      </c>
      <c r="D45" t="s">
        <v>441</v>
      </c>
    </row>
    <row r="46" spans="1:4">
      <c r="A46" s="13">
        <v>70994</v>
      </c>
      <c r="B46" t="s">
        <v>447</v>
      </c>
      <c r="C46" t="s">
        <v>408</v>
      </c>
      <c r="D46" t="s">
        <v>448</v>
      </c>
    </row>
    <row r="47" spans="1:4">
      <c r="A47" s="13">
        <v>70995</v>
      </c>
      <c r="B47" t="s">
        <v>345</v>
      </c>
      <c r="C47" t="s">
        <v>449</v>
      </c>
      <c r="D47" t="s">
        <v>450</v>
      </c>
    </row>
    <row r="48" spans="1:4">
      <c r="A48" s="13">
        <v>70996</v>
      </c>
      <c r="B48" t="s">
        <v>451</v>
      </c>
      <c r="C48" t="s">
        <v>452</v>
      </c>
      <c r="D48" t="s">
        <v>453</v>
      </c>
    </row>
    <row r="49" spans="1:4">
      <c r="A49" s="13">
        <v>70997</v>
      </c>
      <c r="B49" t="s">
        <v>346</v>
      </c>
      <c r="C49" t="s">
        <v>452</v>
      </c>
      <c r="D49" t="s">
        <v>454</v>
      </c>
    </row>
    <row r="50" spans="1:4">
      <c r="A50" s="13">
        <v>70998</v>
      </c>
      <c r="B50" t="s">
        <v>455</v>
      </c>
      <c r="C50" t="s">
        <v>452</v>
      </c>
      <c r="D50" t="s">
        <v>456</v>
      </c>
    </row>
    <row r="51" spans="1:4">
      <c r="A51" s="13">
        <v>70999</v>
      </c>
      <c r="B51" t="s">
        <v>457</v>
      </c>
      <c r="C51" t="s">
        <v>452</v>
      </c>
      <c r="D51" t="s">
        <v>458</v>
      </c>
    </row>
    <row r="52" spans="1:4">
      <c r="A52" s="13">
        <v>70881</v>
      </c>
      <c r="B52" t="s">
        <v>362</v>
      </c>
      <c r="C52" t="s">
        <v>363</v>
      </c>
      <c r="D52" t="s">
        <v>459</v>
      </c>
    </row>
    <row r="53" spans="1:4">
      <c r="A53" s="13">
        <v>70882</v>
      </c>
      <c r="B53" t="s">
        <v>460</v>
      </c>
      <c r="C53" t="s">
        <v>416</v>
      </c>
      <c r="D53" t="s">
        <v>461</v>
      </c>
    </row>
    <row r="54" spans="1:4">
      <c r="A54" s="13">
        <v>70883</v>
      </c>
      <c r="B54" t="s">
        <v>462</v>
      </c>
      <c r="C54" t="s">
        <v>408</v>
      </c>
      <c r="D54" t="s">
        <v>463</v>
      </c>
    </row>
    <row r="55" spans="1:4">
      <c r="A55" s="13">
        <v>70884</v>
      </c>
      <c r="B55" t="s">
        <v>348</v>
      </c>
      <c r="C55" t="s">
        <v>408</v>
      </c>
      <c r="D55" t="s">
        <v>464</v>
      </c>
    </row>
    <row r="56" spans="1:4">
      <c r="A56" s="13">
        <v>70885</v>
      </c>
      <c r="B56" t="s">
        <v>465</v>
      </c>
      <c r="C56" t="s">
        <v>395</v>
      </c>
      <c r="D56" t="s">
        <v>466</v>
      </c>
    </row>
    <row r="57" spans="1:4">
      <c r="A57" s="13">
        <v>70886</v>
      </c>
      <c r="B57" t="s">
        <v>311</v>
      </c>
      <c r="C57" t="s">
        <v>403</v>
      </c>
      <c r="D57" t="s">
        <v>404</v>
      </c>
    </row>
    <row r="58" spans="1:4">
      <c r="A58" s="13">
        <v>70887</v>
      </c>
      <c r="B58" t="s">
        <v>467</v>
      </c>
      <c r="C58" t="s">
        <v>412</v>
      </c>
      <c r="D58" t="s">
        <v>468</v>
      </c>
    </row>
    <row r="59" spans="1:4">
      <c r="A59" s="13">
        <v>70888</v>
      </c>
      <c r="B59" t="s">
        <v>469</v>
      </c>
      <c r="C59" t="s">
        <v>403</v>
      </c>
      <c r="D59" t="s">
        <v>470</v>
      </c>
    </row>
    <row r="60" spans="1:4">
      <c r="A60" s="13">
        <v>70889</v>
      </c>
      <c r="B60" t="s">
        <v>471</v>
      </c>
      <c r="C60" t="s">
        <v>472</v>
      </c>
      <c r="D60" t="s">
        <v>473</v>
      </c>
    </row>
    <row r="61" spans="1:4">
      <c r="A61" s="13">
        <v>70890</v>
      </c>
      <c r="B61" t="s">
        <v>474</v>
      </c>
      <c r="C61" t="s">
        <v>395</v>
      </c>
      <c r="D61" t="s">
        <v>475</v>
      </c>
    </row>
    <row r="62" spans="1:4">
      <c r="A62" s="13">
        <v>70891</v>
      </c>
      <c r="B62" t="s">
        <v>476</v>
      </c>
      <c r="C62" t="s">
        <v>395</v>
      </c>
      <c r="D62" t="s">
        <v>477</v>
      </c>
    </row>
    <row r="63" spans="1:4">
      <c r="A63" s="13">
        <v>70892</v>
      </c>
      <c r="B63" t="s">
        <v>478</v>
      </c>
      <c r="C63" t="s">
        <v>363</v>
      </c>
      <c r="D63" t="s">
        <v>479</v>
      </c>
    </row>
    <row r="64" spans="1:4">
      <c r="A64" s="13">
        <v>70893</v>
      </c>
      <c r="B64" t="s">
        <v>314</v>
      </c>
      <c r="C64" t="s">
        <v>412</v>
      </c>
      <c r="D64" t="s">
        <v>480</v>
      </c>
    </row>
    <row r="65" spans="1:4">
      <c r="A65" s="13">
        <v>70894</v>
      </c>
      <c r="B65" t="s">
        <v>481</v>
      </c>
      <c r="C65" t="s">
        <v>412</v>
      </c>
      <c r="D65" t="s">
        <v>482</v>
      </c>
    </row>
    <row r="66" spans="1:4">
      <c r="A66" s="13">
        <v>70895</v>
      </c>
      <c r="B66" t="s">
        <v>315</v>
      </c>
      <c r="C66" t="s">
        <v>422</v>
      </c>
      <c r="D66" t="s">
        <v>483</v>
      </c>
    </row>
    <row r="67" spans="1:4">
      <c r="A67" s="13">
        <v>70896</v>
      </c>
      <c r="B67" t="s">
        <v>484</v>
      </c>
      <c r="C67" t="s">
        <v>412</v>
      </c>
      <c r="D67" t="s">
        <v>485</v>
      </c>
    </row>
    <row r="68" spans="1:4">
      <c r="A68" s="13">
        <v>70897</v>
      </c>
      <c r="B68" t="s">
        <v>317</v>
      </c>
      <c r="C68" t="s">
        <v>422</v>
      </c>
      <c r="D68" t="s">
        <v>486</v>
      </c>
    </row>
    <row r="69" spans="1:4">
      <c r="A69" s="13">
        <v>70898</v>
      </c>
      <c r="B69" t="s">
        <v>487</v>
      </c>
      <c r="C69" t="s">
        <v>488</v>
      </c>
      <c r="D69" t="s">
        <v>489</v>
      </c>
    </row>
    <row r="70" spans="1:4">
      <c r="A70" s="13">
        <v>70899</v>
      </c>
      <c r="B70" t="s">
        <v>490</v>
      </c>
      <c r="C70" t="s">
        <v>382</v>
      </c>
      <c r="D70" t="s">
        <v>491</v>
      </c>
    </row>
    <row r="71" spans="1:4">
      <c r="A71" s="13">
        <v>70900</v>
      </c>
      <c r="B71" t="s">
        <v>492</v>
      </c>
      <c r="C71" t="s">
        <v>389</v>
      </c>
      <c r="D71" t="s">
        <v>493</v>
      </c>
    </row>
    <row r="72" spans="1:4">
      <c r="A72" s="13">
        <v>70901</v>
      </c>
      <c r="B72" t="s">
        <v>494</v>
      </c>
      <c r="C72" t="s">
        <v>382</v>
      </c>
      <c r="D72" t="s">
        <v>495</v>
      </c>
    </row>
    <row r="73" spans="1:4">
      <c r="A73" s="13">
        <v>70902</v>
      </c>
      <c r="B73" t="s">
        <v>496</v>
      </c>
      <c r="C73" t="s">
        <v>382</v>
      </c>
      <c r="D73" t="s">
        <v>497</v>
      </c>
    </row>
    <row r="74" spans="1:4">
      <c r="A74" s="13">
        <v>70903</v>
      </c>
      <c r="B74" t="s">
        <v>498</v>
      </c>
      <c r="C74" t="s">
        <v>382</v>
      </c>
      <c r="D74" t="s">
        <v>499</v>
      </c>
    </row>
    <row r="75" spans="1:4">
      <c r="A75" s="13">
        <v>70904</v>
      </c>
      <c r="B75" t="s">
        <v>303</v>
      </c>
      <c r="C75" t="s">
        <v>389</v>
      </c>
      <c r="D75" t="s">
        <v>500</v>
      </c>
    </row>
    <row r="76" spans="1:4">
      <c r="A76" s="13">
        <v>70905</v>
      </c>
      <c r="B76" t="s">
        <v>501</v>
      </c>
      <c r="C76" t="s">
        <v>389</v>
      </c>
      <c r="D76" t="s">
        <v>502</v>
      </c>
    </row>
    <row r="77" spans="1:4">
      <c r="A77" s="13">
        <v>70906</v>
      </c>
      <c r="B77" t="s">
        <v>503</v>
      </c>
      <c r="C77" t="s">
        <v>389</v>
      </c>
      <c r="D77" t="s">
        <v>504</v>
      </c>
    </row>
    <row r="78" spans="1:4">
      <c r="A78" s="13">
        <v>70907</v>
      </c>
      <c r="B78" t="s">
        <v>505</v>
      </c>
      <c r="C78" t="s">
        <v>389</v>
      </c>
      <c r="D78" t="s">
        <v>506</v>
      </c>
    </row>
    <row r="79" spans="1:4">
      <c r="A79" s="13">
        <v>70908</v>
      </c>
      <c r="B79" t="s">
        <v>507</v>
      </c>
      <c r="C79" t="s">
        <v>371</v>
      </c>
      <c r="D79" t="s">
        <v>508</v>
      </c>
    </row>
    <row r="80" spans="1:4">
      <c r="A80" s="13">
        <v>70909</v>
      </c>
      <c r="B80" t="s">
        <v>509</v>
      </c>
      <c r="C80" t="s">
        <v>371</v>
      </c>
      <c r="D80" t="s">
        <v>510</v>
      </c>
    </row>
    <row r="81" spans="1:4">
      <c r="A81" s="13">
        <v>70910</v>
      </c>
      <c r="B81" t="s">
        <v>511</v>
      </c>
      <c r="C81" t="s">
        <v>512</v>
      </c>
      <c r="D81" t="s">
        <v>513</v>
      </c>
    </row>
    <row r="82" spans="1:4">
      <c r="A82" s="13">
        <v>70911</v>
      </c>
      <c r="B82" t="s">
        <v>514</v>
      </c>
      <c r="C82" t="s">
        <v>515</v>
      </c>
      <c r="D82" t="s">
        <v>516</v>
      </c>
    </row>
    <row r="83" spans="1:4">
      <c r="A83" s="13">
        <v>70912</v>
      </c>
      <c r="B83" t="s">
        <v>517</v>
      </c>
      <c r="C83" t="s">
        <v>416</v>
      </c>
      <c r="D83" t="s">
        <v>518</v>
      </c>
    </row>
    <row r="84" spans="1:4">
      <c r="A84" s="13">
        <v>70913</v>
      </c>
      <c r="B84" t="s">
        <v>349</v>
      </c>
      <c r="C84" t="s">
        <v>519</v>
      </c>
      <c r="D84" t="s">
        <v>520</v>
      </c>
    </row>
    <row r="85" spans="1:4">
      <c r="A85" s="13">
        <v>70914</v>
      </c>
      <c r="B85" t="s">
        <v>319</v>
      </c>
      <c r="C85" t="s">
        <v>521</v>
      </c>
      <c r="D85" t="s">
        <v>522</v>
      </c>
    </row>
    <row r="86" spans="1:4">
      <c r="A86" s="13">
        <v>70915</v>
      </c>
      <c r="B86" t="s">
        <v>523</v>
      </c>
      <c r="C86" t="s">
        <v>359</v>
      </c>
      <c r="D86" t="s">
        <v>524</v>
      </c>
    </row>
    <row r="87" spans="1:4">
      <c r="A87" s="13">
        <v>70916</v>
      </c>
      <c r="B87" t="s">
        <v>525</v>
      </c>
      <c r="C87" t="s">
        <v>416</v>
      </c>
      <c r="D87" t="s">
        <v>526</v>
      </c>
    </row>
    <row r="88" spans="1:4">
      <c r="A88" s="13">
        <v>70917</v>
      </c>
      <c r="B88" t="s">
        <v>414</v>
      </c>
      <c r="C88" t="s">
        <v>414</v>
      </c>
      <c r="D88" t="s">
        <v>527</v>
      </c>
    </row>
    <row r="89" spans="1:4">
      <c r="A89" s="13">
        <v>70918</v>
      </c>
      <c r="B89" t="s">
        <v>528</v>
      </c>
      <c r="C89" t="s">
        <v>529</v>
      </c>
      <c r="D89" t="s">
        <v>530</v>
      </c>
    </row>
    <row r="90" spans="1:4">
      <c r="A90" s="13">
        <v>70919</v>
      </c>
      <c r="B90" t="s">
        <v>531</v>
      </c>
      <c r="C90" t="s">
        <v>355</v>
      </c>
      <c r="D90" t="s">
        <v>532</v>
      </c>
    </row>
    <row r="91" spans="1:4">
      <c r="A91" s="13">
        <v>70920</v>
      </c>
      <c r="B91" t="s">
        <v>533</v>
      </c>
      <c r="C91" t="s">
        <v>403</v>
      </c>
      <c r="D91" t="s">
        <v>534</v>
      </c>
    </row>
    <row r="92" spans="1:4">
      <c r="A92" s="13">
        <v>70921</v>
      </c>
      <c r="B92" t="s">
        <v>320</v>
      </c>
      <c r="C92" t="s">
        <v>472</v>
      </c>
      <c r="D92" t="s">
        <v>535</v>
      </c>
    </row>
    <row r="93" spans="1:4">
      <c r="A93" s="13">
        <v>70922</v>
      </c>
      <c r="B93" t="s">
        <v>321</v>
      </c>
      <c r="C93" t="s">
        <v>395</v>
      </c>
      <c r="D93" t="s">
        <v>536</v>
      </c>
    </row>
    <row r="94" spans="1:4">
      <c r="A94" s="13">
        <v>70923</v>
      </c>
      <c r="B94" t="s">
        <v>322</v>
      </c>
      <c r="C94" t="s">
        <v>537</v>
      </c>
      <c r="D94" t="s">
        <v>538</v>
      </c>
    </row>
    <row r="95" spans="1:4">
      <c r="A95" s="13">
        <v>70924</v>
      </c>
      <c r="B95" t="s">
        <v>323</v>
      </c>
      <c r="C95" t="s">
        <v>412</v>
      </c>
      <c r="D95" t="s">
        <v>539</v>
      </c>
    </row>
    <row r="96" spans="1:4">
      <c r="A96" s="13">
        <v>70925</v>
      </c>
      <c r="B96" t="s">
        <v>540</v>
      </c>
      <c r="C96" t="s">
        <v>382</v>
      </c>
      <c r="D96" t="s">
        <v>541</v>
      </c>
    </row>
    <row r="97" spans="1:4">
      <c r="A97" s="13">
        <v>70926</v>
      </c>
      <c r="B97" t="s">
        <v>542</v>
      </c>
      <c r="C97" t="s">
        <v>371</v>
      </c>
      <c r="D97" t="s">
        <v>543</v>
      </c>
    </row>
    <row r="98" spans="1:4">
      <c r="A98" s="13">
        <v>70927</v>
      </c>
      <c r="B98" t="s">
        <v>544</v>
      </c>
      <c r="C98" t="s">
        <v>365</v>
      </c>
      <c r="D98" t="s">
        <v>545</v>
      </c>
    </row>
    <row r="99" spans="1:4">
      <c r="A99" s="13">
        <v>70928</v>
      </c>
      <c r="B99" t="s">
        <v>546</v>
      </c>
      <c r="C99" t="s">
        <v>365</v>
      </c>
      <c r="D99" t="s">
        <v>547</v>
      </c>
    </row>
    <row r="100" spans="1:4">
      <c r="A100" s="13">
        <v>70929</v>
      </c>
      <c r="B100" t="s">
        <v>548</v>
      </c>
      <c r="C100" t="s">
        <v>428</v>
      </c>
      <c r="D100" t="s">
        <v>549</v>
      </c>
    </row>
    <row r="101" spans="1:4">
      <c r="A101" s="13">
        <v>70930</v>
      </c>
      <c r="B101" t="s">
        <v>550</v>
      </c>
      <c r="C101" t="s">
        <v>382</v>
      </c>
      <c r="D101" t="s">
        <v>551</v>
      </c>
    </row>
    <row r="102" spans="1:4">
      <c r="A102" s="13">
        <v>70931</v>
      </c>
      <c r="B102" t="s">
        <v>300</v>
      </c>
      <c r="C102" t="s">
        <v>414</v>
      </c>
      <c r="D102" t="s">
        <v>552</v>
      </c>
    </row>
    <row r="103" spans="1:4">
      <c r="A103" s="13">
        <v>70932</v>
      </c>
      <c r="B103" t="s">
        <v>379</v>
      </c>
      <c r="C103" t="s">
        <v>377</v>
      </c>
      <c r="D103" t="s">
        <v>553</v>
      </c>
    </row>
    <row r="104" spans="1:4">
      <c r="A104" s="13">
        <v>70933</v>
      </c>
      <c r="B104" t="s">
        <v>418</v>
      </c>
      <c r="C104" t="s">
        <v>359</v>
      </c>
      <c r="D104" t="s">
        <v>554</v>
      </c>
    </row>
    <row r="105" spans="1:4">
      <c r="A105" s="13">
        <v>70934</v>
      </c>
      <c r="B105" t="s">
        <v>555</v>
      </c>
      <c r="C105" t="s">
        <v>556</v>
      </c>
      <c r="D105" t="s">
        <v>557</v>
      </c>
    </row>
    <row r="106" spans="1:4">
      <c r="A106" s="13">
        <v>70935</v>
      </c>
      <c r="B106" t="s">
        <v>558</v>
      </c>
      <c r="C106" t="s">
        <v>556</v>
      </c>
      <c r="D106" t="s">
        <v>559</v>
      </c>
    </row>
    <row r="107" spans="1:4">
      <c r="A107" s="13">
        <v>70936</v>
      </c>
      <c r="B107" t="s">
        <v>560</v>
      </c>
      <c r="C107" t="s">
        <v>556</v>
      </c>
      <c r="D107" t="s">
        <v>561</v>
      </c>
    </row>
    <row r="108" spans="1:4">
      <c r="A108" s="13">
        <v>70937</v>
      </c>
      <c r="B108" t="s">
        <v>562</v>
      </c>
      <c r="C108" t="s">
        <v>556</v>
      </c>
      <c r="D108" t="s">
        <v>563</v>
      </c>
    </row>
    <row r="109" spans="1:4">
      <c r="A109" s="13">
        <v>70938</v>
      </c>
      <c r="B109" t="s">
        <v>564</v>
      </c>
      <c r="C109" t="s">
        <v>556</v>
      </c>
      <c r="D109" t="s">
        <v>369</v>
      </c>
    </row>
    <row r="110" spans="1:4">
      <c r="A110" s="13">
        <v>70939</v>
      </c>
      <c r="B110" t="s">
        <v>565</v>
      </c>
      <c r="C110" t="s">
        <v>556</v>
      </c>
      <c r="D110" t="s">
        <v>566</v>
      </c>
    </row>
    <row r="111" spans="1:4">
      <c r="A111" s="13">
        <v>70520</v>
      </c>
      <c r="B111" t="s">
        <v>567</v>
      </c>
      <c r="C111" t="s">
        <v>568</v>
      </c>
      <c r="D111" t="s">
        <v>569</v>
      </c>
    </row>
    <row r="112" spans="1:4">
      <c r="A112" s="13">
        <v>70521</v>
      </c>
      <c r="B112" t="s">
        <v>570</v>
      </c>
      <c r="C112" t="s">
        <v>568</v>
      </c>
      <c r="D112" t="s">
        <v>571</v>
      </c>
    </row>
    <row r="113" spans="1:4">
      <c r="A113" s="13">
        <v>70522</v>
      </c>
      <c r="B113" t="s">
        <v>572</v>
      </c>
      <c r="C113" t="s">
        <v>568</v>
      </c>
      <c r="D113" t="s">
        <v>573</v>
      </c>
    </row>
    <row r="114" spans="1:4">
      <c r="A114" s="13">
        <v>70523</v>
      </c>
      <c r="B114" t="s">
        <v>285</v>
      </c>
      <c r="C114" t="s">
        <v>568</v>
      </c>
      <c r="D114" t="s">
        <v>574</v>
      </c>
    </row>
    <row r="115" spans="1:4">
      <c r="A115" s="13">
        <v>70524</v>
      </c>
      <c r="B115" t="s">
        <v>575</v>
      </c>
      <c r="C115" t="s">
        <v>568</v>
      </c>
      <c r="D115" t="s">
        <v>576</v>
      </c>
    </row>
    <row r="116" spans="1:4">
      <c r="A116" s="13">
        <v>70526</v>
      </c>
      <c r="B116" t="s">
        <v>577</v>
      </c>
      <c r="C116" t="s">
        <v>568</v>
      </c>
      <c r="D116" t="s">
        <v>578</v>
      </c>
    </row>
    <row r="117" spans="1:4">
      <c r="A117" s="13">
        <v>70527</v>
      </c>
      <c r="B117" t="s">
        <v>579</v>
      </c>
      <c r="C117" t="s">
        <v>580</v>
      </c>
      <c r="D117" t="s">
        <v>581</v>
      </c>
    </row>
    <row r="118" spans="1:4">
      <c r="A118" s="13">
        <v>70528</v>
      </c>
      <c r="B118" t="s">
        <v>582</v>
      </c>
      <c r="C118" t="s">
        <v>583</v>
      </c>
      <c r="D118" t="s">
        <v>584</v>
      </c>
    </row>
    <row r="119" spans="1:4">
      <c r="A119" s="13">
        <v>70530</v>
      </c>
      <c r="B119" t="s">
        <v>585</v>
      </c>
      <c r="C119" t="s">
        <v>580</v>
      </c>
      <c r="D119" t="s">
        <v>586</v>
      </c>
    </row>
    <row r="120" spans="1:4">
      <c r="A120" s="13">
        <v>70531</v>
      </c>
      <c r="B120" t="s">
        <v>587</v>
      </c>
      <c r="C120" t="s">
        <v>580</v>
      </c>
      <c r="D120" t="s">
        <v>588</v>
      </c>
    </row>
    <row r="121" spans="1:4">
      <c r="A121" s="13">
        <v>70540</v>
      </c>
      <c r="B121" t="s">
        <v>589</v>
      </c>
      <c r="C121" t="s">
        <v>568</v>
      </c>
      <c r="D121" t="s">
        <v>590</v>
      </c>
    </row>
    <row r="122" spans="1:4">
      <c r="A122" s="13">
        <v>70542</v>
      </c>
      <c r="B122" t="s">
        <v>591</v>
      </c>
      <c r="C122" t="s">
        <v>592</v>
      </c>
      <c r="D122" t="s">
        <v>593</v>
      </c>
    </row>
    <row r="123" spans="1:4">
      <c r="A123" s="13">
        <v>70543</v>
      </c>
      <c r="B123" t="s">
        <v>594</v>
      </c>
      <c r="C123" t="s">
        <v>592</v>
      </c>
      <c r="D123" t="s">
        <v>595</v>
      </c>
    </row>
    <row r="124" spans="1:4">
      <c r="A124" s="13">
        <v>70544</v>
      </c>
      <c r="B124" t="s">
        <v>284</v>
      </c>
      <c r="C124" t="s">
        <v>592</v>
      </c>
      <c r="D124" t="s">
        <v>596</v>
      </c>
    </row>
    <row r="125" spans="1:4">
      <c r="A125" s="13">
        <v>70546</v>
      </c>
      <c r="B125" t="s">
        <v>597</v>
      </c>
      <c r="C125" t="s">
        <v>568</v>
      </c>
      <c r="D125" t="s">
        <v>598</v>
      </c>
    </row>
    <row r="126" spans="1:4">
      <c r="A126" s="13">
        <v>70547</v>
      </c>
      <c r="B126" t="s">
        <v>599</v>
      </c>
      <c r="C126" t="s">
        <v>568</v>
      </c>
      <c r="D126" t="s">
        <v>600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D380E-185F-AF4F-B85F-5B8B53DEFC92}">
  <sheetPr codeName="Blad4"/>
  <dimension ref="A1:D243"/>
  <sheetViews>
    <sheetView topLeftCell="A80" workbookViewId="0">
      <selection activeCell="C102" sqref="C102"/>
    </sheetView>
  </sheetViews>
  <sheetFormatPr baseColWidth="10" defaultColWidth="18.1640625" defaultRowHeight="19"/>
  <cols>
    <col min="1" max="1" width="9" style="5" bestFit="1" customWidth="1"/>
    <col min="2" max="2" width="41.5" bestFit="1" customWidth="1"/>
    <col min="3" max="3" width="48.1640625" bestFit="1" customWidth="1"/>
    <col min="4" max="4" width="119.5" bestFit="1" customWidth="1"/>
  </cols>
  <sheetData>
    <row r="1" spans="1:4">
      <c r="A1" s="3" t="s">
        <v>77</v>
      </c>
      <c r="B1" s="2" t="s">
        <v>78</v>
      </c>
      <c r="C1" s="2" t="s">
        <v>79</v>
      </c>
    </row>
    <row r="2" spans="1:4" s="2" customFormat="1">
      <c r="A2" s="4" t="str">
        <f t="shared" ref="A2:A65" si="0">LEFT(C2,6)</f>
        <v>70.520</v>
      </c>
      <c r="B2" s="1" t="str">
        <f t="shared" ref="B2:B33" si="1">MID(C2,8,999)</f>
        <v>Matt Varnish</v>
      </c>
      <c r="C2" s="1" t="s">
        <v>75</v>
      </c>
      <c r="D2" s="8" t="s">
        <v>165</v>
      </c>
    </row>
    <row r="3" spans="1:4">
      <c r="A3" s="4" t="str">
        <f t="shared" si="0"/>
        <v>70.524</v>
      </c>
      <c r="B3" s="1" t="str">
        <f t="shared" si="1"/>
        <v>Thinner Medium</v>
      </c>
      <c r="C3" s="1" t="s">
        <v>76</v>
      </c>
      <c r="D3" s="8" t="s">
        <v>165</v>
      </c>
    </row>
    <row r="4" spans="1:4">
      <c r="A4" s="4" t="str">
        <f t="shared" si="0"/>
        <v>70.740</v>
      </c>
      <c r="B4" s="1" t="str">
        <f t="shared" si="1"/>
        <v>Camouflage Middle Brown</v>
      </c>
      <c r="C4" s="1" t="s">
        <v>32</v>
      </c>
      <c r="D4" s="8" t="s">
        <v>165</v>
      </c>
    </row>
    <row r="5" spans="1:4">
      <c r="A5" s="4" t="str">
        <f t="shared" si="0"/>
        <v>70.741</v>
      </c>
      <c r="B5" s="1" t="str">
        <f t="shared" si="1"/>
        <v>Camouflage Black Green</v>
      </c>
      <c r="C5" s="1" t="s">
        <v>27</v>
      </c>
      <c r="D5" s="8" t="s">
        <v>165</v>
      </c>
    </row>
    <row r="6" spans="1:4">
      <c r="A6" s="4" t="str">
        <f t="shared" si="0"/>
        <v>70.754</v>
      </c>
      <c r="B6" s="1" t="str">
        <f t="shared" si="1"/>
        <v>Continental Blue</v>
      </c>
      <c r="C6" s="1" t="s">
        <v>7</v>
      </c>
      <c r="D6" s="8" t="s">
        <v>165</v>
      </c>
    </row>
    <row r="7" spans="1:4">
      <c r="A7" s="4" t="str">
        <f t="shared" si="0"/>
        <v>70.756</v>
      </c>
      <c r="B7" s="1" t="str">
        <f t="shared" si="1"/>
        <v>Splinter Green</v>
      </c>
      <c r="C7" s="1" t="s">
        <v>8</v>
      </c>
      <c r="D7" s="8" t="s">
        <v>165</v>
      </c>
    </row>
    <row r="8" spans="1:4">
      <c r="A8" s="4" t="str">
        <f t="shared" si="0"/>
        <v>70.757</v>
      </c>
      <c r="B8" s="1" t="str">
        <f t="shared" si="1"/>
        <v>Pacific Green</v>
      </c>
      <c r="C8" s="1" t="s">
        <v>10</v>
      </c>
      <c r="D8" s="8" t="s">
        <v>165</v>
      </c>
    </row>
    <row r="9" spans="1:4">
      <c r="A9" s="4" t="str">
        <f t="shared" si="0"/>
        <v>70.758</v>
      </c>
      <c r="B9" s="1" t="str">
        <f t="shared" si="1"/>
        <v>Bright Green</v>
      </c>
      <c r="C9" s="1" t="s">
        <v>13</v>
      </c>
      <c r="D9" s="8" t="s">
        <v>165</v>
      </c>
    </row>
    <row r="10" spans="1:4">
      <c r="A10" s="4" t="str">
        <f t="shared" si="0"/>
        <v>70.759</v>
      </c>
      <c r="B10" s="1" t="str">
        <f t="shared" si="1"/>
        <v>German Tank Crew</v>
      </c>
      <c r="C10" s="1" t="s">
        <v>21</v>
      </c>
      <c r="D10" s="8" t="s">
        <v>165</v>
      </c>
    </row>
    <row r="11" spans="1:4">
      <c r="A11" s="4" t="str">
        <f t="shared" si="0"/>
        <v>70.761</v>
      </c>
      <c r="B11" s="1" t="str">
        <f t="shared" si="1"/>
        <v>Old Wood</v>
      </c>
      <c r="C11" s="1" t="s">
        <v>45</v>
      </c>
      <c r="D11" s="8" t="s">
        <v>165</v>
      </c>
    </row>
    <row r="12" spans="1:4">
      <c r="A12" s="4" t="str">
        <f t="shared" si="0"/>
        <v>70.762</v>
      </c>
      <c r="B12" s="1" t="str">
        <f t="shared" si="1"/>
        <v>Grey Brown</v>
      </c>
      <c r="C12" s="1" t="s">
        <v>30</v>
      </c>
      <c r="D12" s="8" t="s">
        <v>165</v>
      </c>
    </row>
    <row r="13" spans="1:4">
      <c r="A13" s="4" t="str">
        <f t="shared" si="0"/>
        <v>70.763</v>
      </c>
      <c r="B13" s="1" t="str">
        <f t="shared" si="1"/>
        <v>Canvas</v>
      </c>
      <c r="C13" s="1" t="s">
        <v>31</v>
      </c>
      <c r="D13" s="8" t="s">
        <v>165</v>
      </c>
    </row>
    <row r="14" spans="1:4">
      <c r="A14" s="4" t="str">
        <f t="shared" si="0"/>
        <v>70.764</v>
      </c>
      <c r="B14" s="1" t="str">
        <f t="shared" si="1"/>
        <v>Military Yellow</v>
      </c>
      <c r="C14" s="1" t="s">
        <v>37</v>
      </c>
      <c r="D14" s="8" t="s">
        <v>165</v>
      </c>
    </row>
    <row r="15" spans="1:4">
      <c r="A15" s="4" t="str">
        <f t="shared" si="0"/>
        <v>70.765</v>
      </c>
      <c r="B15" s="1" t="str">
        <f t="shared" si="1"/>
        <v>Desert Tan</v>
      </c>
      <c r="C15" s="1" t="s">
        <v>46</v>
      </c>
      <c r="D15" s="8" t="s">
        <v>165</v>
      </c>
    </row>
    <row r="16" spans="1:4">
      <c r="A16" s="4" t="str">
        <f t="shared" si="0"/>
        <v>70.766</v>
      </c>
      <c r="B16" s="1" t="str">
        <f t="shared" si="1"/>
        <v>Cream White</v>
      </c>
      <c r="C16" s="1" t="s">
        <v>2</v>
      </c>
      <c r="D16" s="8" t="s">
        <v>165</v>
      </c>
    </row>
    <row r="17" spans="1:4">
      <c r="A17" s="4" t="str">
        <f t="shared" si="0"/>
        <v>70.767</v>
      </c>
      <c r="B17" s="1" t="str">
        <f t="shared" si="1"/>
        <v>Desert Brown</v>
      </c>
      <c r="C17" s="1" t="s">
        <v>44</v>
      </c>
      <c r="D17" s="8" t="s">
        <v>165</v>
      </c>
    </row>
    <row r="18" spans="1:4">
      <c r="A18" s="4" t="str">
        <f t="shared" si="0"/>
        <v>70.769</v>
      </c>
      <c r="B18" s="1" t="str">
        <f t="shared" si="1"/>
        <v>Mustard Brown</v>
      </c>
      <c r="C18" s="1" t="s">
        <v>52</v>
      </c>
      <c r="D18" s="8" t="s">
        <v>165</v>
      </c>
    </row>
    <row r="19" spans="1:4">
      <c r="A19" s="4" t="str">
        <f t="shared" si="0"/>
        <v>70.772</v>
      </c>
      <c r="B19" s="1" t="str">
        <f t="shared" si="1"/>
        <v>Medium Grey Blue</v>
      </c>
      <c r="C19" s="1" t="s">
        <v>65</v>
      </c>
      <c r="D19" s="8" t="s">
        <v>165</v>
      </c>
    </row>
    <row r="20" spans="1:4">
      <c r="A20" s="4" t="str">
        <f t="shared" si="0"/>
        <v>70.801</v>
      </c>
      <c r="B20" s="1" t="str">
        <f t="shared" si="1"/>
        <v>Brass</v>
      </c>
      <c r="C20" s="1" t="s">
        <v>74</v>
      </c>
      <c r="D20" s="8" t="s">
        <v>165</v>
      </c>
    </row>
    <row r="21" spans="1:4">
      <c r="A21" s="4" t="str">
        <f t="shared" si="0"/>
        <v>70.814</v>
      </c>
      <c r="B21" s="1" t="str">
        <f t="shared" si="1"/>
        <v>Burnt Red</v>
      </c>
      <c r="C21" s="1" t="s">
        <v>60</v>
      </c>
      <c r="D21" s="8" t="s">
        <v>165</v>
      </c>
    </row>
    <row r="22" spans="1:4">
      <c r="A22" s="4" t="str">
        <f t="shared" si="0"/>
        <v>70.816</v>
      </c>
      <c r="B22" s="1" t="str">
        <f t="shared" si="1"/>
        <v>Luftwaffe Uniform</v>
      </c>
      <c r="C22" s="1" t="s">
        <v>66</v>
      </c>
      <c r="D22" s="8" t="s">
        <v>165</v>
      </c>
    </row>
    <row r="23" spans="1:4">
      <c r="A23" s="4" t="str">
        <f t="shared" si="0"/>
        <v>70.821</v>
      </c>
      <c r="B23" s="1" t="str">
        <f t="shared" si="1"/>
        <v>German Beige WWII</v>
      </c>
      <c r="C23" s="1" t="s">
        <v>28</v>
      </c>
      <c r="D23" s="8" t="s">
        <v>165</v>
      </c>
    </row>
    <row r="24" spans="1:4">
      <c r="A24" s="4" t="str">
        <f t="shared" si="0"/>
        <v>70.822</v>
      </c>
      <c r="B24" s="1" t="str">
        <f t="shared" si="1"/>
        <v>Camouflage Black Brown</v>
      </c>
      <c r="C24" s="1" t="s">
        <v>50</v>
      </c>
      <c r="D24" s="8" t="s">
        <v>165</v>
      </c>
    </row>
    <row r="25" spans="1:4">
      <c r="A25" s="4" t="str">
        <f t="shared" si="0"/>
        <v>70.823</v>
      </c>
      <c r="B25" s="1" t="str">
        <f t="shared" si="1"/>
        <v>Luftwaffe Green</v>
      </c>
      <c r="C25" s="1" t="s">
        <v>17</v>
      </c>
      <c r="D25" s="8" t="s">
        <v>165</v>
      </c>
    </row>
    <row r="26" spans="1:4">
      <c r="A26" s="4" t="str">
        <f t="shared" si="0"/>
        <v>70.830</v>
      </c>
      <c r="B26" s="1" t="str">
        <f t="shared" si="1"/>
        <v>German Fieldgrey WWII</v>
      </c>
      <c r="C26" s="1" t="s">
        <v>20</v>
      </c>
      <c r="D26" s="8" t="s">
        <v>165</v>
      </c>
    </row>
    <row r="27" spans="1:4">
      <c r="A27" s="4" t="str">
        <f t="shared" si="0"/>
        <v>70.837</v>
      </c>
      <c r="B27" s="1" t="str">
        <f t="shared" si="1"/>
        <v>Pale Sand</v>
      </c>
      <c r="C27" s="1" t="s">
        <v>3</v>
      </c>
      <c r="D27" s="8" t="s">
        <v>165</v>
      </c>
    </row>
    <row r="28" spans="1:4">
      <c r="A28" s="4" t="str">
        <f t="shared" si="0"/>
        <v>70.846</v>
      </c>
      <c r="B28" s="1" t="str">
        <f t="shared" si="1"/>
        <v>Mahogany Brown</v>
      </c>
      <c r="C28" s="1" t="s">
        <v>56</v>
      </c>
      <c r="D28" s="8" t="s">
        <v>165</v>
      </c>
    </row>
    <row r="29" spans="1:4">
      <c r="A29" s="4" t="str">
        <f t="shared" si="0"/>
        <v>70.847</v>
      </c>
      <c r="B29" s="1" t="str">
        <f t="shared" si="1"/>
        <v>Dark Sand</v>
      </c>
      <c r="C29" s="1" t="s">
        <v>43</v>
      </c>
      <c r="D29" s="8" t="s">
        <v>165</v>
      </c>
    </row>
    <row r="30" spans="1:4">
      <c r="A30" s="4" t="str">
        <f t="shared" si="0"/>
        <v>70.863</v>
      </c>
      <c r="B30" s="1" t="str">
        <f t="shared" si="1"/>
        <v>Gunmetal</v>
      </c>
      <c r="C30" s="1" t="s">
        <v>73</v>
      </c>
      <c r="D30" s="8" t="s">
        <v>165</v>
      </c>
    </row>
    <row r="31" spans="1:4">
      <c r="A31" s="4" t="str">
        <f t="shared" si="0"/>
        <v>70.866</v>
      </c>
      <c r="B31" s="1" t="str">
        <f t="shared" si="1"/>
        <v>Grey Green</v>
      </c>
      <c r="C31" s="1" t="s">
        <v>68</v>
      </c>
      <c r="D31" s="8" t="s">
        <v>165</v>
      </c>
    </row>
    <row r="32" spans="1:4">
      <c r="A32" s="4" t="str">
        <f t="shared" si="0"/>
        <v>70.867</v>
      </c>
      <c r="B32" s="1" t="str">
        <f t="shared" si="1"/>
        <v>Dark Blue Grey</v>
      </c>
      <c r="C32" s="1" t="s">
        <v>67</v>
      </c>
      <c r="D32" s="8" t="s">
        <v>165</v>
      </c>
    </row>
    <row r="33" spans="1:4">
      <c r="A33" s="4" t="str">
        <f t="shared" si="0"/>
        <v>70.868</v>
      </c>
      <c r="B33" s="1" t="str">
        <f t="shared" si="1"/>
        <v>Dark Sea Green</v>
      </c>
      <c r="C33" s="1" t="s">
        <v>69</v>
      </c>
      <c r="D33" s="8" t="s">
        <v>165</v>
      </c>
    </row>
    <row r="34" spans="1:4">
      <c r="A34" s="4" t="str">
        <f t="shared" si="0"/>
        <v>70.871</v>
      </c>
      <c r="B34" s="1" t="str">
        <f t="shared" ref="B34:B65" si="2">MID(C34,8,999)</f>
        <v>Leather Brown</v>
      </c>
      <c r="C34" s="1" t="s">
        <v>49</v>
      </c>
      <c r="D34" s="8" t="s">
        <v>165</v>
      </c>
    </row>
    <row r="35" spans="1:4">
      <c r="A35" s="4" t="str">
        <f t="shared" si="0"/>
        <v>70.873</v>
      </c>
      <c r="B35" s="1" t="str">
        <f t="shared" si="2"/>
        <v>US Field Drab</v>
      </c>
      <c r="C35" s="1" t="s">
        <v>48</v>
      </c>
      <c r="D35" s="8" t="s">
        <v>165</v>
      </c>
    </row>
    <row r="36" spans="1:4">
      <c r="A36" s="4" t="str">
        <f t="shared" si="0"/>
        <v>70.874</v>
      </c>
      <c r="B36" s="1" t="str">
        <f t="shared" si="2"/>
        <v>Tan Earth</v>
      </c>
      <c r="C36" s="1" t="s">
        <v>47</v>
      </c>
      <c r="D36" s="8" t="s">
        <v>165</v>
      </c>
    </row>
    <row r="37" spans="1:4">
      <c r="A37" s="4" t="str">
        <f t="shared" si="0"/>
        <v>70.875</v>
      </c>
      <c r="B37" s="1" t="str">
        <f t="shared" si="2"/>
        <v>Beige Brown</v>
      </c>
      <c r="C37" s="1" t="s">
        <v>53</v>
      </c>
      <c r="D37" s="8" t="s">
        <v>165</v>
      </c>
    </row>
    <row r="38" spans="1:4">
      <c r="A38" s="4" t="str">
        <f t="shared" si="0"/>
        <v>70.879</v>
      </c>
      <c r="B38" s="1" t="str">
        <f t="shared" si="2"/>
        <v>Green Brown</v>
      </c>
      <c r="C38" s="1" t="s">
        <v>39</v>
      </c>
      <c r="D38" s="8" t="s">
        <v>165</v>
      </c>
    </row>
    <row r="39" spans="1:4">
      <c r="A39" s="4" t="str">
        <f t="shared" si="0"/>
        <v>70.880</v>
      </c>
      <c r="B39" s="1" t="str">
        <f t="shared" si="2"/>
        <v>Khaki Grey</v>
      </c>
      <c r="C39" s="1" t="s">
        <v>42</v>
      </c>
      <c r="D39" s="8" t="s">
        <v>165</v>
      </c>
    </row>
    <row r="40" spans="1:4">
      <c r="A40" s="4" t="str">
        <f t="shared" si="0"/>
        <v>70.881</v>
      </c>
      <c r="B40" s="1" t="str">
        <f t="shared" si="2"/>
        <v>Green Yellow</v>
      </c>
      <c r="C40" s="1" t="s">
        <v>34</v>
      </c>
      <c r="D40" s="8" t="s">
        <v>165</v>
      </c>
    </row>
    <row r="41" spans="1:4">
      <c r="A41" s="4" t="str">
        <f t="shared" si="0"/>
        <v>70.886</v>
      </c>
      <c r="B41" s="1" t="str">
        <f t="shared" si="2"/>
        <v>Green Grey</v>
      </c>
      <c r="C41" s="1" t="s">
        <v>19</v>
      </c>
      <c r="D41" s="8" t="s">
        <v>165</v>
      </c>
    </row>
    <row r="42" spans="1:4">
      <c r="A42" s="4" t="str">
        <f t="shared" si="0"/>
        <v>70.887</v>
      </c>
      <c r="B42" s="1" t="str">
        <f t="shared" si="2"/>
        <v>US Olive Drab</v>
      </c>
      <c r="C42" s="1" t="s">
        <v>35</v>
      </c>
      <c r="D42" s="8" t="s">
        <v>165</v>
      </c>
    </row>
    <row r="43" spans="1:4">
      <c r="A43" s="4" t="str">
        <f t="shared" si="0"/>
        <v>70.890</v>
      </c>
      <c r="B43" s="1" t="str">
        <f t="shared" si="2"/>
        <v>Refractive Green</v>
      </c>
      <c r="C43" s="1" t="s">
        <v>25</v>
      </c>
      <c r="D43" s="8" t="s">
        <v>165</v>
      </c>
    </row>
    <row r="44" spans="1:4">
      <c r="A44" s="4" t="str">
        <f t="shared" si="0"/>
        <v>70.893</v>
      </c>
      <c r="B44" s="1" t="str">
        <f t="shared" si="2"/>
        <v>US Dark Green</v>
      </c>
      <c r="C44" s="1" t="s">
        <v>24</v>
      </c>
      <c r="D44" s="8" t="s">
        <v>165</v>
      </c>
    </row>
    <row r="45" spans="1:4">
      <c r="A45" s="4" t="str">
        <f t="shared" si="0"/>
        <v>70.894</v>
      </c>
      <c r="B45" s="1" t="str">
        <f t="shared" si="2"/>
        <v>Camouflage Olive Green</v>
      </c>
      <c r="C45" s="1" t="s">
        <v>26</v>
      </c>
      <c r="D45" s="8" t="s">
        <v>165</v>
      </c>
    </row>
    <row r="46" spans="1:4">
      <c r="A46" s="4" t="str">
        <f t="shared" si="0"/>
        <v>70.895</v>
      </c>
      <c r="B46" s="1" t="str">
        <f t="shared" si="2"/>
        <v>Gunship Green</v>
      </c>
      <c r="C46" s="1" t="s">
        <v>11</v>
      </c>
      <c r="D46" s="8" t="s">
        <v>165</v>
      </c>
    </row>
    <row r="47" spans="1:4">
      <c r="A47" s="4" t="str">
        <f t="shared" si="0"/>
        <v>70.896</v>
      </c>
      <c r="B47" s="1" t="str">
        <f t="shared" si="2"/>
        <v>Extra Dark Green</v>
      </c>
      <c r="C47" s="1" t="s">
        <v>22</v>
      </c>
      <c r="D47" s="8" t="s">
        <v>165</v>
      </c>
    </row>
    <row r="48" spans="1:4">
      <c r="A48" s="4" t="str">
        <f t="shared" si="0"/>
        <v>70.897</v>
      </c>
      <c r="B48" s="1" t="str">
        <f t="shared" si="2"/>
        <v>Bronze Green</v>
      </c>
      <c r="C48" s="1" t="s">
        <v>12</v>
      </c>
      <c r="D48" s="8" t="s">
        <v>165</v>
      </c>
    </row>
    <row r="49" spans="1:4">
      <c r="A49" s="4" t="str">
        <f t="shared" si="0"/>
        <v>70.906</v>
      </c>
      <c r="B49" s="1" t="str">
        <f t="shared" si="2"/>
        <v>Pale Blue</v>
      </c>
      <c r="C49" s="1" t="s">
        <v>63</v>
      </c>
      <c r="D49" s="8" t="s">
        <v>165</v>
      </c>
    </row>
    <row r="50" spans="1:4">
      <c r="A50" s="4" t="str">
        <f t="shared" si="0"/>
        <v>70.914</v>
      </c>
      <c r="B50" s="1" t="str">
        <f t="shared" si="2"/>
        <v>Green Ochre</v>
      </c>
      <c r="C50" s="1" t="s">
        <v>41</v>
      </c>
      <c r="D50" s="8" t="s">
        <v>165</v>
      </c>
    </row>
    <row r="51" spans="1:4">
      <c r="A51" s="4" t="str">
        <f t="shared" si="0"/>
        <v>70.921</v>
      </c>
      <c r="B51" s="1" t="str">
        <f t="shared" si="2"/>
        <v>English Uniform</v>
      </c>
      <c r="C51" s="1" t="s">
        <v>40</v>
      </c>
      <c r="D51" s="8" t="s">
        <v>165</v>
      </c>
    </row>
    <row r="52" spans="1:4">
      <c r="A52" s="4" t="str">
        <f t="shared" si="0"/>
        <v>70.922</v>
      </c>
      <c r="B52" s="1" t="str">
        <f t="shared" si="2"/>
        <v>Uniform Green</v>
      </c>
      <c r="C52" s="1" t="s">
        <v>16</v>
      </c>
      <c r="D52" s="8" t="s">
        <v>165</v>
      </c>
    </row>
    <row r="53" spans="1:4">
      <c r="A53" s="4" t="str">
        <f t="shared" si="0"/>
        <v>70.923</v>
      </c>
      <c r="B53" s="1" t="str">
        <f t="shared" si="2"/>
        <v>Japanese Uniform WWII</v>
      </c>
      <c r="C53" s="1" t="s">
        <v>38</v>
      </c>
      <c r="D53" s="8" t="s">
        <v>165</v>
      </c>
    </row>
    <row r="54" spans="1:4">
      <c r="A54" s="4" t="str">
        <f t="shared" si="0"/>
        <v>70.924</v>
      </c>
      <c r="B54" s="1" t="str">
        <f t="shared" si="2"/>
        <v>Russian Uniform WWII</v>
      </c>
      <c r="C54" s="1" t="s">
        <v>23</v>
      </c>
      <c r="D54" s="8" t="s">
        <v>165</v>
      </c>
    </row>
    <row r="55" spans="1:4">
      <c r="A55" s="4" t="str">
        <f t="shared" si="0"/>
        <v>70.940</v>
      </c>
      <c r="B55" s="1" t="str">
        <f t="shared" si="2"/>
        <v>Saddle Brown</v>
      </c>
      <c r="C55" s="1" t="s">
        <v>55</v>
      </c>
      <c r="D55" s="8" t="s">
        <v>165</v>
      </c>
    </row>
    <row r="56" spans="1:4">
      <c r="A56" s="4" t="str">
        <f t="shared" si="0"/>
        <v>70.941</v>
      </c>
      <c r="B56" s="1" t="str">
        <f t="shared" si="2"/>
        <v>Burnt Umber</v>
      </c>
      <c r="C56" s="1" t="s">
        <v>33</v>
      </c>
      <c r="D56" s="8" t="s">
        <v>165</v>
      </c>
    </row>
    <row r="57" spans="1:4">
      <c r="A57" s="4" t="str">
        <f t="shared" si="0"/>
        <v>70.947</v>
      </c>
      <c r="B57" s="1" t="str">
        <f t="shared" si="2"/>
        <v>Dark Vermilion</v>
      </c>
      <c r="C57" s="1" t="s">
        <v>5</v>
      </c>
      <c r="D57" s="8" t="s">
        <v>165</v>
      </c>
    </row>
    <row r="58" spans="1:4">
      <c r="A58" s="4" t="str">
        <f t="shared" si="0"/>
        <v>70.950</v>
      </c>
      <c r="B58" s="1" t="str">
        <f t="shared" si="2"/>
        <v>Black</v>
      </c>
      <c r="C58" s="1" t="s">
        <v>71</v>
      </c>
      <c r="D58" s="8" t="s">
        <v>165</v>
      </c>
    </row>
    <row r="59" spans="1:4">
      <c r="A59" s="4" t="str">
        <f t="shared" si="0"/>
        <v>70.951</v>
      </c>
      <c r="B59" s="1" t="str">
        <f t="shared" si="2"/>
        <v>White</v>
      </c>
      <c r="C59" s="1" t="s">
        <v>0</v>
      </c>
      <c r="D59" s="8" t="s">
        <v>165</v>
      </c>
    </row>
    <row r="60" spans="1:4">
      <c r="A60" s="4" t="str">
        <f t="shared" si="0"/>
        <v>70.953</v>
      </c>
      <c r="B60" s="1" t="str">
        <f t="shared" si="2"/>
        <v>Flat Yellow</v>
      </c>
      <c r="C60" s="1" t="s">
        <v>4</v>
      </c>
      <c r="D60" s="8" t="s">
        <v>165</v>
      </c>
    </row>
    <row r="61" spans="1:4">
      <c r="A61" s="4" t="str">
        <f t="shared" si="0"/>
        <v>70.955</v>
      </c>
      <c r="B61" s="1" t="str">
        <f t="shared" si="2"/>
        <v>Flat Flesh</v>
      </c>
      <c r="C61" s="1" t="s">
        <v>1</v>
      </c>
      <c r="D61" s="8" t="s">
        <v>165</v>
      </c>
    </row>
    <row r="62" spans="1:4">
      <c r="A62" s="4" t="str">
        <f t="shared" si="0"/>
        <v>70.965</v>
      </c>
      <c r="B62" s="1" t="str">
        <f t="shared" si="2"/>
        <v>Prussian Blue</v>
      </c>
      <c r="C62" s="1" t="s">
        <v>6</v>
      </c>
      <c r="D62" s="8" t="s">
        <v>165</v>
      </c>
    </row>
    <row r="63" spans="1:4">
      <c r="A63" s="4" t="str">
        <f t="shared" si="0"/>
        <v>70.967</v>
      </c>
      <c r="B63" s="1" t="str">
        <f t="shared" si="2"/>
        <v>Olive Green</v>
      </c>
      <c r="C63" s="1" t="s">
        <v>15</v>
      </c>
      <c r="D63" s="8" t="s">
        <v>165</v>
      </c>
    </row>
    <row r="64" spans="1:4">
      <c r="A64" s="4" t="str">
        <f t="shared" si="0"/>
        <v>70.971</v>
      </c>
      <c r="B64" s="1" t="str">
        <f t="shared" si="2"/>
        <v>Light Green Grey</v>
      </c>
      <c r="C64" s="1" t="s">
        <v>62</v>
      </c>
      <c r="D64" s="8" t="s">
        <v>165</v>
      </c>
    </row>
    <row r="65" spans="1:4">
      <c r="A65" s="4" t="str">
        <f t="shared" si="0"/>
        <v>70.972</v>
      </c>
      <c r="B65" s="1" t="str">
        <f t="shared" si="2"/>
        <v>Light Green Blue</v>
      </c>
      <c r="C65" s="1" t="s">
        <v>64</v>
      </c>
      <c r="D65" s="8" t="s">
        <v>165</v>
      </c>
    </row>
    <row r="66" spans="1:4">
      <c r="A66" s="4" t="str">
        <f t="shared" ref="A66:A129" si="3">LEFT(C66,6)</f>
        <v>70.975</v>
      </c>
      <c r="B66" s="1" t="str">
        <f t="shared" ref="B66:B129" si="4">MID(C66,8,999)</f>
        <v>Military Green</v>
      </c>
      <c r="C66" s="1" t="s">
        <v>18</v>
      </c>
      <c r="D66" s="8" t="s">
        <v>165</v>
      </c>
    </row>
    <row r="67" spans="1:4">
      <c r="A67" s="4" t="str">
        <f t="shared" si="3"/>
        <v>70.976</v>
      </c>
      <c r="B67" s="1" t="str">
        <f t="shared" si="4"/>
        <v>Buff</v>
      </c>
      <c r="C67" s="1" t="s">
        <v>36</v>
      </c>
      <c r="D67" s="8" t="s">
        <v>165</v>
      </c>
    </row>
    <row r="68" spans="1:4">
      <c r="A68" s="4" t="str">
        <f t="shared" si="3"/>
        <v>70.977</v>
      </c>
      <c r="B68" s="1" t="str">
        <f t="shared" si="4"/>
        <v>Desert Yellow</v>
      </c>
      <c r="C68" s="1" t="s">
        <v>51</v>
      </c>
      <c r="D68" s="8" t="s">
        <v>165</v>
      </c>
    </row>
    <row r="69" spans="1:4">
      <c r="A69" s="4" t="str">
        <f t="shared" si="3"/>
        <v>70.979</v>
      </c>
      <c r="B69" s="1" t="str">
        <f t="shared" si="4"/>
        <v>Camouflage Dark Green</v>
      </c>
      <c r="C69" s="1" t="s">
        <v>14</v>
      </c>
      <c r="D69" s="8" t="s">
        <v>165</v>
      </c>
    </row>
    <row r="70" spans="1:4">
      <c r="A70" s="4" t="str">
        <f t="shared" si="3"/>
        <v>70.980</v>
      </c>
      <c r="B70" s="1" t="str">
        <f t="shared" si="4"/>
        <v>Black Green</v>
      </c>
      <c r="C70" s="1" t="s">
        <v>9</v>
      </c>
      <c r="D70" s="8" t="s">
        <v>165</v>
      </c>
    </row>
    <row r="71" spans="1:4">
      <c r="A71" s="4" t="str">
        <f t="shared" si="3"/>
        <v>70.981</v>
      </c>
      <c r="B71" s="1" t="str">
        <f t="shared" si="4"/>
        <v>Orange Brown</v>
      </c>
      <c r="C71" s="1" t="s">
        <v>58</v>
      </c>
      <c r="D71" s="8" t="s">
        <v>165</v>
      </c>
    </row>
    <row r="72" spans="1:4">
      <c r="A72" s="4" t="str">
        <f t="shared" si="3"/>
        <v>70.982</v>
      </c>
      <c r="B72" s="1" t="str">
        <f t="shared" si="4"/>
        <v>Cavalry Brown</v>
      </c>
      <c r="C72" s="1" t="s">
        <v>59</v>
      </c>
      <c r="D72" s="8" t="s">
        <v>165</v>
      </c>
    </row>
    <row r="73" spans="1:4">
      <c r="A73" s="4" t="str">
        <f t="shared" si="3"/>
        <v>70.983</v>
      </c>
      <c r="B73" s="1" t="str">
        <f t="shared" si="4"/>
        <v>Flat Earth</v>
      </c>
      <c r="C73" s="1" t="s">
        <v>54</v>
      </c>
      <c r="D73" s="8" t="s">
        <v>165</v>
      </c>
    </row>
    <row r="74" spans="1:4">
      <c r="A74" s="4" t="str">
        <f t="shared" si="3"/>
        <v>70.984</v>
      </c>
      <c r="B74" s="1" t="str">
        <f t="shared" si="4"/>
        <v>Flat Brown</v>
      </c>
      <c r="C74" s="1" t="s">
        <v>57</v>
      </c>
      <c r="D74" s="8" t="s">
        <v>165</v>
      </c>
    </row>
    <row r="75" spans="1:4">
      <c r="A75" s="4" t="str">
        <f t="shared" si="3"/>
        <v>70.985</v>
      </c>
      <c r="B75" s="1" t="str">
        <f t="shared" si="4"/>
        <v>Hull Red</v>
      </c>
      <c r="C75" s="1" t="s">
        <v>61</v>
      </c>
      <c r="D75" s="8" t="s">
        <v>165</v>
      </c>
    </row>
    <row r="76" spans="1:4">
      <c r="A76" s="4" t="str">
        <f t="shared" si="3"/>
        <v>70.988</v>
      </c>
      <c r="B76" s="1" t="str">
        <f t="shared" si="4"/>
        <v>Khaki</v>
      </c>
      <c r="C76" s="1" t="s">
        <v>29</v>
      </c>
      <c r="D76" s="8" t="s">
        <v>165</v>
      </c>
    </row>
    <row r="77" spans="1:4">
      <c r="A77" s="4" t="str">
        <f t="shared" si="3"/>
        <v>70.995</v>
      </c>
      <c r="B77" s="1" t="str">
        <f t="shared" si="4"/>
        <v>German Grey</v>
      </c>
      <c r="C77" s="1" t="s">
        <v>70</v>
      </c>
      <c r="D77" s="8" t="s">
        <v>165</v>
      </c>
    </row>
    <row r="78" spans="1:4">
      <c r="A78" s="4" t="str">
        <f t="shared" si="3"/>
        <v>70.997</v>
      </c>
      <c r="B78" s="1" t="str">
        <f t="shared" si="4"/>
        <v>Silver</v>
      </c>
      <c r="C78" s="1" t="s">
        <v>72</v>
      </c>
      <c r="D78" s="8" t="s">
        <v>165</v>
      </c>
    </row>
    <row r="79" spans="1:4">
      <c r="A79" s="4" t="str">
        <f t="shared" si="3"/>
        <v>70.981</v>
      </c>
      <c r="B79" s="1" t="str">
        <f t="shared" si="4"/>
        <v>Orange Brown (Model Color)</v>
      </c>
      <c r="C79" s="1" t="s">
        <v>269</v>
      </c>
      <c r="D79" s="8" t="s">
        <v>218</v>
      </c>
    </row>
    <row r="80" spans="1:4">
      <c r="A80" s="4" t="str">
        <f t="shared" si="3"/>
        <v>70.985</v>
      </c>
      <c r="B80" s="1" t="str">
        <f t="shared" si="4"/>
        <v>Hull Red (Model Color)</v>
      </c>
      <c r="C80" s="1" t="s">
        <v>270</v>
      </c>
      <c r="D80" s="8" t="s">
        <v>218</v>
      </c>
    </row>
    <row r="81" spans="1:4">
      <c r="A81" s="4" t="str">
        <f t="shared" si="3"/>
        <v>71.129</v>
      </c>
      <c r="B81" s="1" t="str">
        <f t="shared" si="4"/>
        <v>Light Rust (Model Air)</v>
      </c>
      <c r="C81" s="1" t="s">
        <v>271</v>
      </c>
      <c r="D81" s="8" t="s">
        <v>218</v>
      </c>
    </row>
    <row r="82" spans="1:4">
      <c r="A82" s="4" t="str">
        <f t="shared" si="3"/>
        <v>71.080</v>
      </c>
      <c r="B82" s="1" t="str">
        <f t="shared" si="4"/>
        <v>Rust (Model Air)</v>
      </c>
      <c r="C82" s="1" t="s">
        <v>273</v>
      </c>
      <c r="D82" s="8" t="s">
        <v>218</v>
      </c>
    </row>
    <row r="83" spans="1:4">
      <c r="A83" s="4" t="str">
        <f t="shared" si="3"/>
        <v>71.042</v>
      </c>
      <c r="B83" s="1" t="str">
        <f t="shared" si="4"/>
        <v>Dark Brown RLM61 (Model Air)</v>
      </c>
      <c r="C83" s="1" t="s">
        <v>272</v>
      </c>
      <c r="D83" s="8" t="s">
        <v>218</v>
      </c>
    </row>
    <row r="84" spans="1:4" ht="18" customHeight="1">
      <c r="A84" s="4" t="str">
        <f t="shared" si="3"/>
        <v>74.506</v>
      </c>
      <c r="B84" s="1" t="str">
        <f t="shared" si="4"/>
        <v>Rust (Weathering Effects)</v>
      </c>
      <c r="C84" s="1" t="s">
        <v>274</v>
      </c>
      <c r="D84" s="8" t="s">
        <v>218</v>
      </c>
    </row>
    <row r="85" spans="1:4" ht="18" customHeight="1">
      <c r="A85" s="4" t="str">
        <f t="shared" si="3"/>
        <v>74.513</v>
      </c>
      <c r="B85" s="1" t="str">
        <f t="shared" si="4"/>
        <v>Brown (Weathering Effects)</v>
      </c>
      <c r="C85" s="1" t="s">
        <v>275</v>
      </c>
      <c r="D85" s="8" t="s">
        <v>218</v>
      </c>
    </row>
    <row r="86" spans="1:4" ht="18" customHeight="1">
      <c r="A86" s="4" t="str">
        <f t="shared" si="3"/>
        <v>74.521</v>
      </c>
      <c r="B86" s="1" t="str">
        <f t="shared" si="4"/>
        <v xml:space="preserve"> Oiled Earth (Weathering Effects)</v>
      </c>
      <c r="C86" s="1" t="s">
        <v>276</v>
      </c>
      <c r="D86" s="8" t="s">
        <v>218</v>
      </c>
    </row>
    <row r="87" spans="1:4">
      <c r="A87" s="4" t="str">
        <f t="shared" si="3"/>
        <v>74.506</v>
      </c>
      <c r="B87" s="1" t="str">
        <f t="shared" si="4"/>
        <v>Rust (Weathering Effects)</v>
      </c>
      <c r="C87" s="11" t="s">
        <v>268</v>
      </c>
      <c r="D87" s="1" t="s">
        <v>84</v>
      </c>
    </row>
    <row r="88" spans="1:4" ht="18">
      <c r="A88" s="4" t="str">
        <f t="shared" si="3"/>
        <v>70.766</v>
      </c>
      <c r="B88" s="1" t="str">
        <f t="shared" si="4"/>
        <v>Creme Wit</v>
      </c>
      <c r="C88" s="1" t="s">
        <v>83</v>
      </c>
      <c r="D88" s="1" t="s">
        <v>84</v>
      </c>
    </row>
    <row r="89" spans="1:4" ht="18">
      <c r="A89" s="4" t="str">
        <f t="shared" si="3"/>
        <v>70.897</v>
      </c>
      <c r="B89" s="1" t="str">
        <f t="shared" si="4"/>
        <v>Brons Groen</v>
      </c>
      <c r="C89" s="1" t="s">
        <v>85</v>
      </c>
      <c r="D89" s="1" t="s">
        <v>84</v>
      </c>
    </row>
    <row r="90" spans="1:4" ht="18">
      <c r="A90" s="4" t="str">
        <f t="shared" si="3"/>
        <v>70.979</v>
      </c>
      <c r="B90" s="1" t="str">
        <f t="shared" si="4"/>
        <v>Camouflage Donker Groen</v>
      </c>
      <c r="C90" s="1" t="s">
        <v>86</v>
      </c>
      <c r="D90" s="1" t="s">
        <v>84</v>
      </c>
    </row>
    <row r="91" spans="1:4" ht="18">
      <c r="A91" s="4" t="str">
        <f t="shared" si="3"/>
        <v>70.890</v>
      </c>
      <c r="B91" s="1" t="str">
        <f t="shared" si="4"/>
        <v>Refractief Groen</v>
      </c>
      <c r="C91" s="1" t="s">
        <v>87</v>
      </c>
      <c r="D91" s="1" t="s">
        <v>84</v>
      </c>
    </row>
    <row r="92" spans="1:4" ht="18">
      <c r="A92" s="4" t="str">
        <f t="shared" si="3"/>
        <v>70.762</v>
      </c>
      <c r="B92" s="1" t="str">
        <f t="shared" si="4"/>
        <v>Grijs Bruin</v>
      </c>
      <c r="C92" s="1" t="s">
        <v>88</v>
      </c>
      <c r="D92" s="1" t="s">
        <v>84</v>
      </c>
    </row>
    <row r="93" spans="1:4" ht="18">
      <c r="A93" s="4" t="str">
        <f t="shared" si="3"/>
        <v>70.764</v>
      </c>
      <c r="B93" s="1" t="str">
        <f t="shared" si="4"/>
        <v>Militair Geel</v>
      </c>
      <c r="C93" s="1" t="s">
        <v>90</v>
      </c>
      <c r="D93" s="1" t="s">
        <v>84</v>
      </c>
    </row>
    <row r="94" spans="1:4" ht="18">
      <c r="A94" s="4" t="str">
        <f t="shared" si="3"/>
        <v>70.879</v>
      </c>
      <c r="B94" s="1" t="str">
        <f t="shared" si="4"/>
        <v>Groen Bruin</v>
      </c>
      <c r="C94" s="1" t="s">
        <v>89</v>
      </c>
      <c r="D94" s="1" t="s">
        <v>84</v>
      </c>
    </row>
    <row r="95" spans="1:4" ht="18">
      <c r="A95" s="4" t="str">
        <f t="shared" si="3"/>
        <v>70.847</v>
      </c>
      <c r="B95" s="1" t="str">
        <f t="shared" si="4"/>
        <v>Donker Zand</v>
      </c>
      <c r="C95" s="1" t="s">
        <v>92</v>
      </c>
      <c r="D95" s="1" t="s">
        <v>84</v>
      </c>
    </row>
    <row r="96" spans="1:4" ht="18">
      <c r="A96" s="4" t="str">
        <f t="shared" si="3"/>
        <v>70.767</v>
      </c>
      <c r="B96" s="1" t="str">
        <f t="shared" si="4"/>
        <v>Woestijn Bruin</v>
      </c>
      <c r="C96" s="1" t="s">
        <v>91</v>
      </c>
      <c r="D96" s="1" t="s">
        <v>84</v>
      </c>
    </row>
    <row r="97" spans="1:4" ht="18">
      <c r="A97" s="4" t="str">
        <f t="shared" si="3"/>
        <v>70.761</v>
      </c>
      <c r="B97" s="1" t="str">
        <f t="shared" si="4"/>
        <v>Oudd Hout</v>
      </c>
      <c r="C97" s="1" t="s">
        <v>93</v>
      </c>
      <c r="D97" s="1" t="s">
        <v>84</v>
      </c>
    </row>
    <row r="98" spans="1:4" ht="18">
      <c r="A98" s="4" t="str">
        <f t="shared" si="3"/>
        <v>70.814</v>
      </c>
      <c r="B98" s="1" t="str">
        <f t="shared" si="4"/>
        <v>Rood Verbrand</v>
      </c>
      <c r="C98" s="1" t="s">
        <v>95</v>
      </c>
      <c r="D98" s="1" t="s">
        <v>84</v>
      </c>
    </row>
    <row r="99" spans="1:4" ht="18">
      <c r="A99" s="4" t="str">
        <f t="shared" si="3"/>
        <v>70.985</v>
      </c>
      <c r="B99" s="1" t="str">
        <f t="shared" si="4"/>
        <v>Romp Rood</v>
      </c>
      <c r="C99" s="1" t="s">
        <v>96</v>
      </c>
      <c r="D99" s="1" t="s">
        <v>84</v>
      </c>
    </row>
    <row r="100" spans="1:4" ht="18">
      <c r="A100" s="4" t="str">
        <f t="shared" si="3"/>
        <v>70.883</v>
      </c>
      <c r="B100" s="1" t="str">
        <f t="shared" si="4"/>
        <v>Zilver Grijs</v>
      </c>
      <c r="C100" s="1" t="s">
        <v>97</v>
      </c>
      <c r="D100" s="1" t="s">
        <v>84</v>
      </c>
    </row>
    <row r="101" spans="1:4" ht="18">
      <c r="A101" s="4" t="str">
        <f t="shared" si="3"/>
        <v>70.868</v>
      </c>
      <c r="B101" s="1" t="str">
        <f t="shared" si="4"/>
        <v>Dinker Zeegroen</v>
      </c>
      <c r="C101" s="1" t="s">
        <v>94</v>
      </c>
      <c r="D101" s="1" t="s">
        <v>84</v>
      </c>
    </row>
    <row r="102" spans="1:4" ht="18">
      <c r="A102" s="4" t="str">
        <f t="shared" si="3"/>
        <v>70.995</v>
      </c>
      <c r="B102" s="1" t="str">
        <f t="shared" si="4"/>
        <v>Duits Grijs</v>
      </c>
      <c r="C102" s="1" t="s">
        <v>98</v>
      </c>
      <c r="D102" s="1" t="s">
        <v>84</v>
      </c>
    </row>
    <row r="103" spans="1:4" ht="18">
      <c r="A103" s="4" t="str">
        <f t="shared" si="3"/>
        <v>70.950</v>
      </c>
      <c r="B103" s="1" t="str">
        <f t="shared" si="4"/>
        <v>Zwart</v>
      </c>
      <c r="C103" s="1" t="s">
        <v>99</v>
      </c>
      <c r="D103" s="1" t="s">
        <v>103</v>
      </c>
    </row>
    <row r="104" spans="1:4" ht="18">
      <c r="A104" s="4" t="str">
        <f t="shared" si="3"/>
        <v>70.845</v>
      </c>
      <c r="B104" s="1" t="str">
        <f t="shared" si="4"/>
        <v>Sunny Skin Tone</v>
      </c>
      <c r="C104" s="1" t="s">
        <v>100</v>
      </c>
      <c r="D104" s="1" t="s">
        <v>104</v>
      </c>
    </row>
    <row r="105" spans="1:4" ht="18">
      <c r="A105" s="4" t="str">
        <f t="shared" si="3"/>
        <v>70.981</v>
      </c>
      <c r="B105" s="1" t="str">
        <f t="shared" si="4"/>
        <v>Orange Brown</v>
      </c>
      <c r="C105" s="1" t="s">
        <v>58</v>
      </c>
      <c r="D105" s="1" t="s">
        <v>105</v>
      </c>
    </row>
    <row r="106" spans="1:4" ht="18">
      <c r="A106" s="4" t="str">
        <f t="shared" si="3"/>
        <v>70.846</v>
      </c>
      <c r="B106" s="1" t="str">
        <f t="shared" si="4"/>
        <v>Mahogany Brown</v>
      </c>
      <c r="C106" s="1" t="s">
        <v>56</v>
      </c>
      <c r="D106" s="1" t="s">
        <v>106</v>
      </c>
    </row>
    <row r="107" spans="1:4" ht="18">
      <c r="A107" s="4" t="str">
        <f t="shared" si="3"/>
        <v>70.881</v>
      </c>
      <c r="B107" s="1" t="str">
        <f t="shared" si="4"/>
        <v>Green Yellow</v>
      </c>
      <c r="C107" s="1" t="s">
        <v>34</v>
      </c>
      <c r="D107" s="1" t="s">
        <v>107</v>
      </c>
    </row>
    <row r="108" spans="1:4" ht="18">
      <c r="A108" s="4" t="str">
        <f t="shared" si="3"/>
        <v>70.975</v>
      </c>
      <c r="B108" s="1" t="str">
        <f t="shared" si="4"/>
        <v>Military Green</v>
      </c>
      <c r="C108" s="1" t="s">
        <v>18</v>
      </c>
      <c r="D108" s="1" t="s">
        <v>108</v>
      </c>
    </row>
    <row r="109" spans="1:4" ht="18">
      <c r="A109" s="4" t="str">
        <f t="shared" si="3"/>
        <v>70.741</v>
      </c>
      <c r="B109" s="1" t="str">
        <f t="shared" si="4"/>
        <v>Camouflage SS Dk Black Green</v>
      </c>
      <c r="C109" s="1" t="s">
        <v>101</v>
      </c>
      <c r="D109" s="1" t="s">
        <v>109</v>
      </c>
    </row>
    <row r="110" spans="1:4" ht="18">
      <c r="A110" s="4" t="str">
        <f t="shared" si="3"/>
        <v>70.884</v>
      </c>
      <c r="B110" s="1" t="str">
        <f t="shared" si="4"/>
        <v>Stone Grey</v>
      </c>
      <c r="C110" s="1" t="s">
        <v>102</v>
      </c>
      <c r="D110" s="1" t="s">
        <v>110</v>
      </c>
    </row>
    <row r="111" spans="1:4" ht="18">
      <c r="A111" s="4" t="str">
        <f t="shared" si="3"/>
        <v>70.950</v>
      </c>
      <c r="B111" s="1" t="str">
        <f t="shared" si="4"/>
        <v>Black</v>
      </c>
      <c r="C111" s="1" t="s">
        <v>71</v>
      </c>
      <c r="D111" s="1" t="s">
        <v>111</v>
      </c>
    </row>
    <row r="112" spans="1:4" ht="18">
      <c r="A112" s="4" t="str">
        <f t="shared" si="3"/>
        <v>70.955</v>
      </c>
      <c r="B112" s="1" t="str">
        <f t="shared" si="4"/>
        <v>Flat Flesh</v>
      </c>
      <c r="C112" s="1" t="s">
        <v>1</v>
      </c>
      <c r="D112" s="1" t="s">
        <v>111</v>
      </c>
    </row>
    <row r="113" spans="1:4" ht="18">
      <c r="A113" s="4" t="str">
        <f t="shared" si="3"/>
        <v>70.756</v>
      </c>
      <c r="B113" s="1" t="str">
        <f t="shared" si="4"/>
        <v>Splinter Green</v>
      </c>
      <c r="C113" s="1" t="s">
        <v>8</v>
      </c>
      <c r="D113" s="1" t="s">
        <v>111</v>
      </c>
    </row>
    <row r="114" spans="1:4" ht="18">
      <c r="A114" s="4" t="str">
        <f t="shared" si="3"/>
        <v>70.758</v>
      </c>
      <c r="B114" s="1" t="str">
        <f t="shared" si="4"/>
        <v>Bright Green</v>
      </c>
      <c r="C114" s="1" t="s">
        <v>13</v>
      </c>
      <c r="D114" s="1" t="s">
        <v>111</v>
      </c>
    </row>
    <row r="115" spans="1:4" ht="18">
      <c r="A115" s="4" t="str">
        <f t="shared" si="3"/>
        <v>70.967</v>
      </c>
      <c r="B115" s="1" t="str">
        <f t="shared" si="4"/>
        <v>Olive Green</v>
      </c>
      <c r="C115" s="1" t="s">
        <v>15</v>
      </c>
      <c r="D115" s="1" t="s">
        <v>111</v>
      </c>
    </row>
    <row r="116" spans="1:4" ht="18">
      <c r="A116" s="4" t="str">
        <f t="shared" si="3"/>
        <v>70.893</v>
      </c>
      <c r="B116" s="1" t="str">
        <f t="shared" si="4"/>
        <v>US Dark Green</v>
      </c>
      <c r="C116" s="1" t="s">
        <v>24</v>
      </c>
      <c r="D116" s="1" t="s">
        <v>111</v>
      </c>
    </row>
    <row r="117" spans="1:4" ht="18">
      <c r="A117" s="4" t="str">
        <f t="shared" si="3"/>
        <v>70.741</v>
      </c>
      <c r="B117" s="1" t="str">
        <f t="shared" si="4"/>
        <v>Camouflage Black Green</v>
      </c>
      <c r="C117" s="1" t="s">
        <v>27</v>
      </c>
      <c r="D117" s="1" t="s">
        <v>111</v>
      </c>
    </row>
    <row r="118" spans="1:4" ht="18">
      <c r="A118" s="4" t="str">
        <f t="shared" si="3"/>
        <v>70.821</v>
      </c>
      <c r="B118" s="1" t="str">
        <f t="shared" si="4"/>
        <v>German Beige WWII</v>
      </c>
      <c r="C118" s="1" t="s">
        <v>28</v>
      </c>
      <c r="D118" s="1" t="s">
        <v>111</v>
      </c>
    </row>
    <row r="119" spans="1:4" ht="18">
      <c r="A119" s="4" t="str">
        <f t="shared" si="3"/>
        <v>70.740</v>
      </c>
      <c r="B119" s="1" t="str">
        <f t="shared" si="4"/>
        <v>Camouflage Middle Brown</v>
      </c>
      <c r="C119" s="1" t="s">
        <v>32</v>
      </c>
      <c r="D119" s="1" t="s">
        <v>111</v>
      </c>
    </row>
    <row r="120" spans="1:4" ht="18">
      <c r="A120" s="4" t="str">
        <f t="shared" si="3"/>
        <v>70.822</v>
      </c>
      <c r="B120" s="1" t="str">
        <f t="shared" si="4"/>
        <v>Camouflage Black Brown</v>
      </c>
      <c r="C120" s="1" t="s">
        <v>50</v>
      </c>
      <c r="D120" s="1" t="s">
        <v>111</v>
      </c>
    </row>
    <row r="121" spans="1:4" ht="18">
      <c r="A121" s="4" t="str">
        <f t="shared" si="3"/>
        <v>70.875</v>
      </c>
      <c r="B121" s="1" t="str">
        <f t="shared" si="4"/>
        <v>Beige Brown</v>
      </c>
      <c r="C121" s="1" t="s">
        <v>53</v>
      </c>
      <c r="D121" s="1" t="s">
        <v>111</v>
      </c>
    </row>
    <row r="122" spans="1:4" ht="18">
      <c r="A122" s="4" t="str">
        <f t="shared" si="3"/>
        <v>70.940</v>
      </c>
      <c r="B122" s="1" t="str">
        <f t="shared" si="4"/>
        <v>Saddle Brown</v>
      </c>
      <c r="C122" s="1" t="s">
        <v>55</v>
      </c>
      <c r="D122" s="1" t="s">
        <v>111</v>
      </c>
    </row>
    <row r="123" spans="1:4" ht="18">
      <c r="A123" s="4" t="str">
        <f t="shared" si="3"/>
        <v>70.846</v>
      </c>
      <c r="B123" s="1" t="str">
        <f t="shared" si="4"/>
        <v>Mahogany Brown</v>
      </c>
      <c r="C123" s="1" t="s">
        <v>56</v>
      </c>
      <c r="D123" s="1" t="s">
        <v>111</v>
      </c>
    </row>
    <row r="124" spans="1:4" ht="18">
      <c r="A124" s="4" t="str">
        <f t="shared" si="3"/>
        <v>70.984</v>
      </c>
      <c r="B124" s="1" t="str">
        <f t="shared" si="4"/>
        <v>Flat Brown</v>
      </c>
      <c r="C124" s="1" t="s">
        <v>57</v>
      </c>
      <c r="D124" s="1" t="s">
        <v>111</v>
      </c>
    </row>
    <row r="125" spans="1:4" ht="18">
      <c r="A125" s="4" t="str">
        <f t="shared" si="3"/>
        <v>70.913</v>
      </c>
      <c r="B125" s="1" t="str">
        <f t="shared" si="4"/>
        <v>Yellow Ochre</v>
      </c>
      <c r="C125" s="1" t="s">
        <v>80</v>
      </c>
      <c r="D125" s="1" t="s">
        <v>111</v>
      </c>
    </row>
    <row r="126" spans="1:4" ht="18">
      <c r="A126" s="4" t="str">
        <f t="shared" si="3"/>
        <v>70.981</v>
      </c>
      <c r="B126" s="1" t="str">
        <f t="shared" si="4"/>
        <v>Orange Brown</v>
      </c>
      <c r="C126" s="1" t="s">
        <v>58</v>
      </c>
      <c r="D126" s="1" t="s">
        <v>111</v>
      </c>
    </row>
    <row r="127" spans="1:4" ht="18">
      <c r="A127" s="4" t="str">
        <f t="shared" si="3"/>
        <v>70.985</v>
      </c>
      <c r="B127" s="1" t="str">
        <f t="shared" si="4"/>
        <v>Hull Red</v>
      </c>
      <c r="C127" s="1" t="s">
        <v>61</v>
      </c>
      <c r="D127" s="1" t="s">
        <v>128</v>
      </c>
    </row>
    <row r="128" spans="1:4" ht="18">
      <c r="A128" s="4" t="str">
        <f t="shared" si="3"/>
        <v>70.801</v>
      </c>
      <c r="B128" s="1" t="str">
        <f t="shared" si="4"/>
        <v>- Brass</v>
      </c>
      <c r="C128" s="7" t="s">
        <v>112</v>
      </c>
      <c r="D128" s="1" t="s">
        <v>128</v>
      </c>
    </row>
    <row r="129" spans="1:4" ht="18">
      <c r="A129" s="4" t="str">
        <f t="shared" si="3"/>
        <v>70.805</v>
      </c>
      <c r="B129" s="1" t="str">
        <f t="shared" si="4"/>
        <v>- German Orange</v>
      </c>
      <c r="C129" s="7" t="s">
        <v>113</v>
      </c>
      <c r="D129" s="1" t="s">
        <v>128</v>
      </c>
    </row>
    <row r="130" spans="1:4" ht="18">
      <c r="A130" s="4" t="str">
        <f t="shared" ref="A130:A193" si="5">LEFT(C130,6)</f>
        <v>70.806</v>
      </c>
      <c r="B130" s="1" t="str">
        <f t="shared" ref="B130:B193" si="6">MID(C130,8,999)</f>
        <v>- German Yellow</v>
      </c>
      <c r="C130" s="7" t="s">
        <v>114</v>
      </c>
      <c r="D130" s="1" t="s">
        <v>128</v>
      </c>
    </row>
    <row r="131" spans="1:4" ht="18">
      <c r="A131" s="4" t="str">
        <f t="shared" si="5"/>
        <v>70.818</v>
      </c>
      <c r="B131" s="1" t="str">
        <f t="shared" si="6"/>
        <v>- Red Leather</v>
      </c>
      <c r="C131" s="7" t="s">
        <v>115</v>
      </c>
      <c r="D131" s="1" t="s">
        <v>128</v>
      </c>
    </row>
    <row r="132" spans="1:4" ht="18">
      <c r="A132" s="4" t="str">
        <f t="shared" si="5"/>
        <v>70.845</v>
      </c>
      <c r="B132" s="1" t="str">
        <f t="shared" si="6"/>
        <v>- Sunny Skin Tone</v>
      </c>
      <c r="C132" s="7" t="s">
        <v>116</v>
      </c>
      <c r="D132" s="1" t="s">
        <v>128</v>
      </c>
    </row>
    <row r="133" spans="1:4" ht="18">
      <c r="A133" s="4" t="str">
        <f t="shared" si="5"/>
        <v>70.861</v>
      </c>
      <c r="B133" s="1" t="str">
        <f t="shared" si="6"/>
        <v>- Glossy Black</v>
      </c>
      <c r="C133" s="7" t="s">
        <v>117</v>
      </c>
      <c r="D133" s="1" t="s">
        <v>128</v>
      </c>
    </row>
    <row r="134" spans="1:4" ht="18">
      <c r="A134" s="4" t="str">
        <f t="shared" si="5"/>
        <v>70.868</v>
      </c>
      <c r="B134" s="1" t="str">
        <f t="shared" si="6"/>
        <v>- Dark Sea Green</v>
      </c>
      <c r="C134" s="7" t="s">
        <v>118</v>
      </c>
      <c r="D134" s="1" t="s">
        <v>128</v>
      </c>
    </row>
    <row r="135" spans="1:4" ht="18">
      <c r="A135" s="4" t="str">
        <f t="shared" si="5"/>
        <v>70.871</v>
      </c>
      <c r="B135" s="1" t="str">
        <f t="shared" si="6"/>
        <v>- Leather Brown</v>
      </c>
      <c r="C135" s="7" t="s">
        <v>119</v>
      </c>
      <c r="D135" s="1" t="s">
        <v>128</v>
      </c>
    </row>
    <row r="136" spans="1:4" ht="18">
      <c r="A136" s="4" t="str">
        <f t="shared" si="5"/>
        <v>70.912</v>
      </c>
      <c r="B136" s="1" t="str">
        <f t="shared" si="6"/>
        <v>- Tan Yellow</v>
      </c>
      <c r="C136" s="7" t="s">
        <v>120</v>
      </c>
      <c r="D136" s="1" t="s">
        <v>128</v>
      </c>
    </row>
    <row r="137" spans="1:4" ht="18">
      <c r="A137" s="4" t="str">
        <f t="shared" si="5"/>
        <v>70.920</v>
      </c>
      <c r="B137" s="1" t="str">
        <f t="shared" si="6"/>
        <v>- German Uniform</v>
      </c>
      <c r="C137" s="7" t="s">
        <v>121</v>
      </c>
      <c r="D137" s="1" t="s">
        <v>128</v>
      </c>
    </row>
    <row r="138" spans="1:4" ht="18">
      <c r="A138" s="4" t="str">
        <f t="shared" si="5"/>
        <v>70.946</v>
      </c>
      <c r="B138" s="1" t="str">
        <f t="shared" si="6"/>
        <v>- Dark Red</v>
      </c>
      <c r="C138" s="7" t="s">
        <v>122</v>
      </c>
      <c r="D138" s="1" t="s">
        <v>128</v>
      </c>
    </row>
    <row r="139" spans="1:4" ht="18">
      <c r="A139" s="4" t="str">
        <f t="shared" si="5"/>
        <v>70.950</v>
      </c>
      <c r="B139" s="1" t="str">
        <f t="shared" si="6"/>
        <v>- Black</v>
      </c>
      <c r="C139" s="7" t="s">
        <v>123</v>
      </c>
      <c r="D139" s="1" t="s">
        <v>128</v>
      </c>
    </row>
    <row r="140" spans="1:4" ht="18">
      <c r="A140" s="4" t="str">
        <f t="shared" si="5"/>
        <v>70.951</v>
      </c>
      <c r="B140" s="1" t="str">
        <f t="shared" si="6"/>
        <v>- White</v>
      </c>
      <c r="C140" s="7" t="s">
        <v>124</v>
      </c>
      <c r="D140" s="1" t="s">
        <v>128</v>
      </c>
    </row>
    <row r="141" spans="1:4" ht="18">
      <c r="A141" s="4" t="str">
        <f t="shared" si="5"/>
        <v>70.992</v>
      </c>
      <c r="B141" s="1" t="str">
        <f t="shared" si="6"/>
        <v>- Neutral Grey</v>
      </c>
      <c r="C141" s="7" t="s">
        <v>125</v>
      </c>
      <c r="D141" s="1" t="s">
        <v>128</v>
      </c>
    </row>
    <row r="142" spans="1:4" ht="18">
      <c r="A142" s="4" t="str">
        <f t="shared" si="5"/>
        <v>70.995</v>
      </c>
      <c r="B142" s="1" t="str">
        <f t="shared" si="6"/>
        <v>- German Grey </v>
      </c>
      <c r="C142" s="7" t="s">
        <v>126</v>
      </c>
      <c r="D142" s="1" t="s">
        <v>128</v>
      </c>
    </row>
    <row r="143" spans="1:4" ht="18">
      <c r="A143" s="4" t="str">
        <f t="shared" si="5"/>
        <v>70.997</v>
      </c>
      <c r="B143" s="1" t="str">
        <f t="shared" si="6"/>
        <v>- Silver</v>
      </c>
      <c r="C143" s="7" t="s">
        <v>127</v>
      </c>
      <c r="D143" s="1" t="s">
        <v>143</v>
      </c>
    </row>
    <row r="144" spans="1:4" ht="18">
      <c r="A144" s="4" t="str">
        <f t="shared" si="5"/>
        <v>70.801</v>
      </c>
      <c r="B144" s="1" t="str">
        <f t="shared" si="6"/>
        <v>- Brass</v>
      </c>
      <c r="C144" s="7" t="s">
        <v>112</v>
      </c>
      <c r="D144" s="1" t="s">
        <v>143</v>
      </c>
    </row>
    <row r="145" spans="1:4" ht="18">
      <c r="A145" s="4" t="str">
        <f t="shared" si="5"/>
        <v>70.816</v>
      </c>
      <c r="B145" s="1" t="str">
        <f t="shared" si="6"/>
        <v>- Luftwaffe Uniform WWII</v>
      </c>
      <c r="C145" s="7" t="s">
        <v>129</v>
      </c>
      <c r="D145" s="1" t="s">
        <v>143</v>
      </c>
    </row>
    <row r="146" spans="1:4" ht="18">
      <c r="A146" s="4" t="str">
        <f t="shared" si="5"/>
        <v>70.821</v>
      </c>
      <c r="B146" s="1" t="str">
        <f t="shared" si="6"/>
        <v>- German Camouflage Beige WWII</v>
      </c>
      <c r="C146" s="7" t="s">
        <v>130</v>
      </c>
      <c r="D146" s="1" t="s">
        <v>143</v>
      </c>
    </row>
    <row r="147" spans="1:4" ht="18">
      <c r="A147" s="4" t="str">
        <f t="shared" si="5"/>
        <v>70.822</v>
      </c>
      <c r="B147" s="1" t="str">
        <f t="shared" si="6"/>
        <v>- German Camouflage Black Brown</v>
      </c>
      <c r="C147" s="7" t="s">
        <v>131</v>
      </c>
      <c r="D147" s="1" t="s">
        <v>143</v>
      </c>
    </row>
    <row r="148" spans="1:4" ht="18">
      <c r="A148" s="4" t="str">
        <f t="shared" si="5"/>
        <v>70.823</v>
      </c>
      <c r="B148" s="1" t="str">
        <f t="shared" si="6"/>
        <v>- Luftwaffe Camouflage Green</v>
      </c>
      <c r="C148" s="7" t="s">
        <v>132</v>
      </c>
      <c r="D148" s="1" t="s">
        <v>143</v>
      </c>
    </row>
    <row r="149" spans="1:4" ht="18">
      <c r="A149" s="4" t="str">
        <f t="shared" si="5"/>
        <v>70.824</v>
      </c>
      <c r="B149" s="1" t="str">
        <f t="shared" si="6"/>
        <v>- German Camouflage Orange Ochre</v>
      </c>
      <c r="C149" s="7" t="s">
        <v>133</v>
      </c>
      <c r="D149" s="1" t="s">
        <v>143</v>
      </c>
    </row>
    <row r="150" spans="1:4" ht="18">
      <c r="A150" s="4" t="str">
        <f t="shared" si="5"/>
        <v>70.825</v>
      </c>
      <c r="B150" s="1" t="str">
        <f t="shared" si="6"/>
        <v>- German Camouflage Pale Brown</v>
      </c>
      <c r="C150" s="7" t="s">
        <v>134</v>
      </c>
      <c r="D150" s="1" t="s">
        <v>143</v>
      </c>
    </row>
    <row r="151" spans="1:4" ht="18">
      <c r="A151" s="4" t="str">
        <f t="shared" si="5"/>
        <v>70.826</v>
      </c>
      <c r="B151" s="1" t="str">
        <f t="shared" si="6"/>
        <v>- German Camouflage Medium Brown</v>
      </c>
      <c r="C151" s="7" t="s">
        <v>135</v>
      </c>
      <c r="D151" s="1" t="s">
        <v>143</v>
      </c>
    </row>
    <row r="152" spans="1:4" ht="18">
      <c r="A152" s="4" t="str">
        <f t="shared" si="5"/>
        <v>70.830</v>
      </c>
      <c r="B152" s="1" t="str">
        <f t="shared" si="6"/>
        <v>- German Field Grey WWII</v>
      </c>
      <c r="C152" s="7" t="s">
        <v>136</v>
      </c>
      <c r="D152" s="1" t="s">
        <v>143</v>
      </c>
    </row>
    <row r="153" spans="1:4" ht="18">
      <c r="A153" s="4" t="str">
        <f t="shared" si="5"/>
        <v>70.833</v>
      </c>
      <c r="B153" s="1" t="str">
        <f t="shared" si="6"/>
        <v>- German Camouflage Bright Green</v>
      </c>
      <c r="C153" s="7" t="s">
        <v>137</v>
      </c>
      <c r="D153" s="1" t="s">
        <v>143</v>
      </c>
    </row>
    <row r="154" spans="1:4" ht="18">
      <c r="A154" s="4" t="str">
        <f t="shared" si="5"/>
        <v>70.835</v>
      </c>
      <c r="B154" s="1" t="str">
        <f t="shared" si="6"/>
        <v>- Salmon Rose</v>
      </c>
      <c r="C154" s="7" t="s">
        <v>138</v>
      </c>
      <c r="D154" s="1" t="s">
        <v>143</v>
      </c>
    </row>
    <row r="155" spans="1:4" ht="18">
      <c r="A155" s="4" t="str">
        <f t="shared" si="5"/>
        <v>70.964</v>
      </c>
      <c r="B155" s="1" t="str">
        <f t="shared" si="6"/>
        <v>- Field Blue</v>
      </c>
      <c r="C155" s="7" t="s">
        <v>139</v>
      </c>
      <c r="D155" s="1" t="s">
        <v>143</v>
      </c>
    </row>
    <row r="156" spans="1:4" ht="18">
      <c r="A156" s="4" t="str">
        <f t="shared" si="5"/>
        <v>70.969</v>
      </c>
      <c r="B156" s="1" t="str">
        <f t="shared" si="6"/>
        <v>- Park Green Flat</v>
      </c>
      <c r="C156" s="7" t="s">
        <v>140</v>
      </c>
      <c r="D156" s="1" t="s">
        <v>143</v>
      </c>
    </row>
    <row r="157" spans="1:4" ht="18">
      <c r="A157" s="4" t="str">
        <f t="shared" si="5"/>
        <v>70.871</v>
      </c>
      <c r="B157" s="1" t="str">
        <f t="shared" si="6"/>
        <v>- Leather Brown</v>
      </c>
      <c r="C157" s="7" t="s">
        <v>119</v>
      </c>
      <c r="D157" s="1" t="s">
        <v>143</v>
      </c>
    </row>
    <row r="158" spans="1:4" ht="18">
      <c r="A158" s="4" t="str">
        <f t="shared" si="5"/>
        <v>70.979</v>
      </c>
      <c r="B158" s="1" t="str">
        <f t="shared" si="6"/>
        <v>- Camouflage Dark Green </v>
      </c>
      <c r="C158" s="7" t="s">
        <v>141</v>
      </c>
      <c r="D158" s="1" t="s">
        <v>143</v>
      </c>
    </row>
    <row r="159" spans="1:4" ht="18">
      <c r="A159" s="4" t="str">
        <f t="shared" si="5"/>
        <v>70.896</v>
      </c>
      <c r="B159" s="1" t="str">
        <f t="shared" si="6"/>
        <v>- German Camouflage Extra Dark Green</v>
      </c>
      <c r="C159" s="7" t="s">
        <v>142</v>
      </c>
      <c r="D159" s="1" t="s">
        <v>158</v>
      </c>
    </row>
    <row r="160" spans="1:4" ht="18">
      <c r="A160" s="4" t="str">
        <f t="shared" si="5"/>
        <v>70.820</v>
      </c>
      <c r="B160" s="1" t="str">
        <f t="shared" si="6"/>
        <v>- Off-White</v>
      </c>
      <c r="C160" s="7" t="s">
        <v>144</v>
      </c>
      <c r="D160" s="1" t="s">
        <v>158</v>
      </c>
    </row>
    <row r="161" spans="1:4" ht="18">
      <c r="A161" s="4" t="str">
        <f t="shared" si="5"/>
        <v>70.918</v>
      </c>
      <c r="B161" s="1" t="str">
        <f t="shared" si="6"/>
        <v>- Ivory</v>
      </c>
      <c r="C161" s="7" t="s">
        <v>145</v>
      </c>
      <c r="D161" s="1" t="s">
        <v>158</v>
      </c>
    </row>
    <row r="162" spans="1:4" ht="18">
      <c r="A162" s="4" t="str">
        <f t="shared" si="5"/>
        <v>70.911</v>
      </c>
      <c r="B162" s="1" t="str">
        <f t="shared" si="6"/>
        <v>- Light Orange</v>
      </c>
      <c r="C162" s="7" t="s">
        <v>146</v>
      </c>
      <c r="D162" s="1" t="s">
        <v>158</v>
      </c>
    </row>
    <row r="163" spans="1:4" ht="18">
      <c r="A163" s="4" t="str">
        <f t="shared" si="5"/>
        <v>70.886</v>
      </c>
      <c r="B163" s="1" t="str">
        <f t="shared" si="6"/>
        <v>- Green Grey</v>
      </c>
      <c r="C163" s="7" t="s">
        <v>147</v>
      </c>
      <c r="D163" s="1" t="s">
        <v>158</v>
      </c>
    </row>
    <row r="164" spans="1:4" ht="18">
      <c r="A164" s="4" t="str">
        <f t="shared" si="5"/>
        <v>70.986</v>
      </c>
      <c r="B164" s="1" t="str">
        <f t="shared" si="6"/>
        <v>- Deck Tan</v>
      </c>
      <c r="C164" s="7" t="s">
        <v>148</v>
      </c>
      <c r="D164" s="1" t="s">
        <v>158</v>
      </c>
    </row>
    <row r="165" spans="1:4" ht="18">
      <c r="A165" s="4" t="str">
        <f t="shared" si="5"/>
        <v>70.884</v>
      </c>
      <c r="B165" s="1" t="str">
        <f t="shared" si="6"/>
        <v>- Stone Grey</v>
      </c>
      <c r="C165" s="7" t="s">
        <v>149</v>
      </c>
      <c r="D165" s="1" t="s">
        <v>158</v>
      </c>
    </row>
    <row r="166" spans="1:4" ht="18">
      <c r="A166" s="4" t="str">
        <f t="shared" si="5"/>
        <v>70.987</v>
      </c>
      <c r="B166" s="1" t="str">
        <f t="shared" si="6"/>
        <v>- Medium Grey</v>
      </c>
      <c r="C166" s="7" t="s">
        <v>150</v>
      </c>
      <c r="D166" s="1" t="s">
        <v>158</v>
      </c>
    </row>
    <row r="167" spans="1:4" ht="18">
      <c r="A167" s="4" t="str">
        <f t="shared" si="5"/>
        <v>70.941</v>
      </c>
      <c r="B167" s="1" t="str">
        <f t="shared" si="6"/>
        <v>- Burnt Umber</v>
      </c>
      <c r="C167" s="7" t="s">
        <v>151</v>
      </c>
      <c r="D167" s="1" t="s">
        <v>158</v>
      </c>
    </row>
    <row r="168" spans="1:4" ht="18">
      <c r="A168" s="4" t="str">
        <f t="shared" si="5"/>
        <v>70.887</v>
      </c>
      <c r="B168" s="1" t="str">
        <f t="shared" si="6"/>
        <v>- US Olive Drab</v>
      </c>
      <c r="C168" s="7" t="s">
        <v>82</v>
      </c>
      <c r="D168" s="1" t="s">
        <v>158</v>
      </c>
    </row>
    <row r="169" spans="1:4" ht="18">
      <c r="A169" s="4" t="str">
        <f t="shared" si="5"/>
        <v>70.882</v>
      </c>
      <c r="B169" s="1" t="str">
        <f t="shared" si="6"/>
        <v>- Middle Stone</v>
      </c>
      <c r="C169" s="7" t="s">
        <v>152</v>
      </c>
      <c r="D169" s="1" t="s">
        <v>158</v>
      </c>
    </row>
    <row r="170" spans="1:4" ht="18">
      <c r="A170" s="4" t="str">
        <f t="shared" si="5"/>
        <v>70.879</v>
      </c>
      <c r="B170" s="1" t="str">
        <f t="shared" si="6"/>
        <v>- Green Brown</v>
      </c>
      <c r="C170" s="7" t="s">
        <v>81</v>
      </c>
      <c r="D170" s="1" t="s">
        <v>158</v>
      </c>
    </row>
    <row r="171" spans="1:4" ht="18">
      <c r="A171" s="4" t="str">
        <f t="shared" si="5"/>
        <v>70.819</v>
      </c>
      <c r="B171" s="1" t="str">
        <f t="shared" si="6"/>
        <v>- Iraqi Sand</v>
      </c>
      <c r="C171" s="7" t="s">
        <v>153</v>
      </c>
      <c r="D171" s="1" t="s">
        <v>158</v>
      </c>
    </row>
    <row r="172" spans="1:4" ht="18">
      <c r="A172" s="4" t="str">
        <f t="shared" si="5"/>
        <v>70.916</v>
      </c>
      <c r="B172" s="1" t="str">
        <f t="shared" si="6"/>
        <v>- Sand Yellow</v>
      </c>
      <c r="C172" s="7" t="s">
        <v>154</v>
      </c>
      <c r="D172" s="1" t="s">
        <v>158</v>
      </c>
    </row>
    <row r="173" spans="1:4" ht="18">
      <c r="A173" s="4" t="str">
        <f t="shared" si="5"/>
        <v>70.875</v>
      </c>
      <c r="B173" s="1" t="str">
        <f t="shared" si="6"/>
        <v>- Beige Brown</v>
      </c>
      <c r="C173" s="7" t="s">
        <v>155</v>
      </c>
      <c r="D173" s="1" t="s">
        <v>158</v>
      </c>
    </row>
    <row r="174" spans="1:4" ht="18">
      <c r="A174" s="4" t="str">
        <f t="shared" si="5"/>
        <v>70.856</v>
      </c>
      <c r="B174" s="1" t="str">
        <f t="shared" si="6"/>
        <v>- Ochre Brown</v>
      </c>
      <c r="C174" s="7" t="s">
        <v>156</v>
      </c>
      <c r="D174" s="1" t="s">
        <v>158</v>
      </c>
    </row>
    <row r="175" spans="1:4" ht="18">
      <c r="A175" s="4" t="str">
        <f t="shared" si="5"/>
        <v>70.994</v>
      </c>
      <c r="B175" s="1" t="str">
        <f t="shared" si="6"/>
        <v>- Dark Grey</v>
      </c>
      <c r="C175" s="7" t="s">
        <v>157</v>
      </c>
      <c r="D175" s="1" t="s">
        <v>164</v>
      </c>
    </row>
    <row r="176" spans="1:4" ht="18">
      <c r="A176" s="4" t="str">
        <f t="shared" si="5"/>
        <v>70.886</v>
      </c>
      <c r="B176" s="1" t="str">
        <f t="shared" si="6"/>
        <v>Groengrijs</v>
      </c>
      <c r="C176" s="1" t="s">
        <v>159</v>
      </c>
      <c r="D176" s="1" t="s">
        <v>164</v>
      </c>
    </row>
    <row r="177" spans="1:4" ht="18">
      <c r="A177" s="4" t="str">
        <f t="shared" si="5"/>
        <v>70.893</v>
      </c>
      <c r="B177" s="1" t="str">
        <f t="shared" si="6"/>
        <v>US Donkergroen</v>
      </c>
      <c r="C177" s="1" t="s">
        <v>160</v>
      </c>
      <c r="D177" s="1" t="s">
        <v>164</v>
      </c>
    </row>
    <row r="178" spans="1:4" ht="18">
      <c r="A178" s="4" t="str">
        <f t="shared" si="5"/>
        <v>70.988</v>
      </c>
      <c r="B178" s="1" t="str">
        <f t="shared" si="6"/>
        <v>Khaki</v>
      </c>
      <c r="C178" s="1" t="s">
        <v>29</v>
      </c>
      <c r="D178" s="1" t="s">
        <v>164</v>
      </c>
    </row>
    <row r="179" spans="1:4" ht="18">
      <c r="A179" s="4" t="str">
        <f t="shared" si="5"/>
        <v>70.887</v>
      </c>
      <c r="B179" s="1" t="str">
        <f t="shared" si="6"/>
        <v>US Olijfgroen</v>
      </c>
      <c r="C179" s="1" t="s">
        <v>161</v>
      </c>
      <c r="D179" s="1" t="s">
        <v>164</v>
      </c>
    </row>
    <row r="180" spans="1:4" ht="18">
      <c r="A180" s="4" t="str">
        <f t="shared" si="5"/>
        <v>70.879</v>
      </c>
      <c r="B180" s="1" t="str">
        <f t="shared" si="6"/>
        <v>Groenbruin</v>
      </c>
      <c r="C180" s="1" t="s">
        <v>162</v>
      </c>
      <c r="D180" s="1" t="s">
        <v>164</v>
      </c>
    </row>
    <row r="181" spans="1:4" ht="18">
      <c r="A181" s="4" t="str">
        <f t="shared" si="5"/>
        <v>70.873</v>
      </c>
      <c r="B181" s="1" t="str">
        <f t="shared" si="6"/>
        <v>US Veldgroen</v>
      </c>
      <c r="C181" s="1" t="s">
        <v>163</v>
      </c>
      <c r="D181" s="1" t="s">
        <v>173</v>
      </c>
    </row>
    <row r="182" spans="1:4" ht="18">
      <c r="A182" s="4" t="str">
        <f t="shared" si="5"/>
        <v>70.897</v>
      </c>
      <c r="B182" s="1" t="str">
        <f t="shared" si="6"/>
        <v>- Bronze Green</v>
      </c>
      <c r="C182" s="1" t="s">
        <v>167</v>
      </c>
      <c r="D182" s="1" t="s">
        <v>173</v>
      </c>
    </row>
    <row r="183" spans="1:4" ht="18">
      <c r="A183" s="4" t="str">
        <f t="shared" si="5"/>
        <v>70.924</v>
      </c>
      <c r="B183" s="1" t="str">
        <f t="shared" si="6"/>
        <v>- Russian Uniform WWII</v>
      </c>
      <c r="C183" s="1" t="s">
        <v>168</v>
      </c>
      <c r="D183" s="1" t="s">
        <v>173</v>
      </c>
    </row>
    <row r="184" spans="1:4" ht="18">
      <c r="A184" s="4" t="str">
        <f t="shared" si="5"/>
        <v>70.921</v>
      </c>
      <c r="B184" s="1" t="str">
        <f t="shared" si="6"/>
        <v>- English Uniform</v>
      </c>
      <c r="C184" s="1" t="s">
        <v>169</v>
      </c>
      <c r="D184" s="1" t="s">
        <v>173</v>
      </c>
    </row>
    <row r="185" spans="1:4" ht="18">
      <c r="A185" s="4" t="str">
        <f t="shared" si="5"/>
        <v>70.988</v>
      </c>
      <c r="B185" s="1" t="str">
        <f t="shared" si="6"/>
        <v>- Khaki</v>
      </c>
      <c r="C185" s="1" t="s">
        <v>170</v>
      </c>
      <c r="D185" s="1" t="s">
        <v>173</v>
      </c>
    </row>
    <row r="186" spans="1:4" ht="18">
      <c r="A186" s="4" t="str">
        <f t="shared" si="5"/>
        <v>70.914</v>
      </c>
      <c r="B186" s="1" t="str">
        <f t="shared" si="6"/>
        <v>- Green Ochre</v>
      </c>
      <c r="C186" s="1" t="s">
        <v>171</v>
      </c>
      <c r="D186" s="1" t="s">
        <v>173</v>
      </c>
    </row>
    <row r="187" spans="1:4" ht="18">
      <c r="A187" s="4" t="str">
        <f t="shared" si="5"/>
        <v>70.983</v>
      </c>
      <c r="B187" s="1" t="str">
        <f t="shared" si="6"/>
        <v>- Flat Earth</v>
      </c>
      <c r="C187" s="1" t="s">
        <v>172</v>
      </c>
      <c r="D187" s="1" t="s">
        <v>188</v>
      </c>
    </row>
    <row r="188" spans="1:4" ht="18">
      <c r="A188" s="4" t="str">
        <f t="shared" si="5"/>
        <v>70.803</v>
      </c>
      <c r="B188" s="1" t="str">
        <f t="shared" si="6"/>
        <v>- Brown Rose</v>
      </c>
      <c r="C188" s="1" t="s">
        <v>175</v>
      </c>
      <c r="D188" s="1" t="s">
        <v>188</v>
      </c>
    </row>
    <row r="189" spans="1:4" ht="18">
      <c r="A189" s="4" t="str">
        <f t="shared" si="5"/>
        <v>70.815</v>
      </c>
      <c r="B189" s="1" t="str">
        <f t="shared" si="6"/>
        <v>- Basic Skintone</v>
      </c>
      <c r="C189" s="1" t="s">
        <v>176</v>
      </c>
      <c r="D189" s="1" t="s">
        <v>188</v>
      </c>
    </row>
    <row r="190" spans="1:4" ht="18">
      <c r="A190" s="4" t="str">
        <f t="shared" si="5"/>
        <v>70.845</v>
      </c>
      <c r="B190" s="1" t="str">
        <f t="shared" si="6"/>
        <v>- Sunny Skintone</v>
      </c>
      <c r="C190" s="1" t="s">
        <v>177</v>
      </c>
      <c r="D190" s="1" t="s">
        <v>188</v>
      </c>
    </row>
    <row r="191" spans="1:4" ht="18">
      <c r="A191" s="4" t="str">
        <f t="shared" si="5"/>
        <v>70.846</v>
      </c>
      <c r="B191" s="1" t="str">
        <f t="shared" si="6"/>
        <v>- Mahogany Sand, </v>
      </c>
      <c r="C191" s="1" t="s">
        <v>178</v>
      </c>
      <c r="D191" s="1" t="s">
        <v>188</v>
      </c>
    </row>
    <row r="192" spans="1:4" ht="18">
      <c r="A192" s="4" t="str">
        <f t="shared" si="5"/>
        <v>70.860</v>
      </c>
      <c r="B192" s="1" t="str">
        <f t="shared" si="6"/>
        <v>- Medium Fleshtone</v>
      </c>
      <c r="C192" s="1" t="s">
        <v>179</v>
      </c>
      <c r="D192" s="1" t="s">
        <v>188</v>
      </c>
    </row>
    <row r="193" spans="1:4" ht="18">
      <c r="A193" s="4" t="str">
        <f t="shared" si="5"/>
        <v>70.890</v>
      </c>
      <c r="B193" s="1" t="str">
        <f t="shared" si="6"/>
        <v>- Dark Prussia Blue</v>
      </c>
      <c r="C193" s="1" t="s">
        <v>180</v>
      </c>
      <c r="D193" s="1" t="s">
        <v>188</v>
      </c>
    </row>
    <row r="194" spans="1:4" ht="18">
      <c r="A194" s="4" t="str">
        <f t="shared" ref="A194:A243" si="7">LEFT(C194,6)</f>
        <v>70.909</v>
      </c>
      <c r="B194" s="1" t="str">
        <f t="shared" ref="B194:B243" si="8">MID(C194,8,999)</f>
        <v>- Vermillion</v>
      </c>
      <c r="C194" s="1" t="s">
        <v>181</v>
      </c>
      <c r="D194" s="1" t="s">
        <v>188</v>
      </c>
    </row>
    <row r="195" spans="1:4" ht="18">
      <c r="A195" s="4" t="str">
        <f t="shared" si="7"/>
        <v>70.921</v>
      </c>
      <c r="B195" s="1" t="str">
        <f t="shared" si="8"/>
        <v>- English Uniform</v>
      </c>
      <c r="C195" s="1" t="s">
        <v>169</v>
      </c>
      <c r="D195" s="1" t="s">
        <v>188</v>
      </c>
    </row>
    <row r="196" spans="1:4" ht="18">
      <c r="A196" s="4" t="str">
        <f t="shared" si="7"/>
        <v>70.923</v>
      </c>
      <c r="B196" s="1" t="str">
        <f t="shared" si="8"/>
        <v>- Japan Uniform WWII, </v>
      </c>
      <c r="C196" s="1" t="s">
        <v>182</v>
      </c>
      <c r="D196" s="1" t="s">
        <v>188</v>
      </c>
    </row>
    <row r="197" spans="1:4" ht="18">
      <c r="A197" s="4" t="str">
        <f t="shared" si="7"/>
        <v>70.926</v>
      </c>
      <c r="B197" s="1" t="str">
        <f t="shared" si="8"/>
        <v>- Red</v>
      </c>
      <c r="C197" s="1" t="s">
        <v>183</v>
      </c>
      <c r="D197" s="1" t="s">
        <v>188</v>
      </c>
    </row>
    <row r="198" spans="1:4" ht="18">
      <c r="A198" s="4" t="str">
        <f t="shared" si="7"/>
        <v>70.927</v>
      </c>
      <c r="B198" s="1" t="str">
        <f t="shared" si="8"/>
        <v>- Dark Flesh</v>
      </c>
      <c r="C198" s="1" t="s">
        <v>184</v>
      </c>
      <c r="D198" s="1" t="s">
        <v>188</v>
      </c>
    </row>
    <row r="199" spans="1:4" ht="18">
      <c r="A199" s="4" t="str">
        <f t="shared" si="7"/>
        <v>70.928</v>
      </c>
      <c r="B199" s="1" t="str">
        <f t="shared" si="8"/>
        <v>- Light Flesh</v>
      </c>
      <c r="C199" s="1" t="s">
        <v>185</v>
      </c>
      <c r="D199" s="1" t="s">
        <v>188</v>
      </c>
    </row>
    <row r="200" spans="1:4" ht="18">
      <c r="A200" s="4" t="str">
        <f t="shared" si="7"/>
        <v>70.929</v>
      </c>
      <c r="B200" s="1" t="str">
        <f t="shared" si="8"/>
        <v>- Light Brown</v>
      </c>
      <c r="C200" s="1" t="s">
        <v>186</v>
      </c>
      <c r="D200" s="1" t="s">
        <v>188</v>
      </c>
    </row>
    <row r="201" spans="1:4" ht="18">
      <c r="A201" s="4" t="str">
        <f t="shared" si="7"/>
        <v>70.941</v>
      </c>
      <c r="B201" s="1" t="str">
        <f t="shared" si="8"/>
        <v>- Burnt Umber</v>
      </c>
      <c r="C201" s="1" t="s">
        <v>151</v>
      </c>
      <c r="D201" s="1" t="s">
        <v>188</v>
      </c>
    </row>
    <row r="202" spans="1:4" ht="18">
      <c r="A202" s="4" t="str">
        <f t="shared" si="7"/>
        <v>70.950</v>
      </c>
      <c r="B202" s="1" t="str">
        <f t="shared" si="8"/>
        <v>- Black</v>
      </c>
      <c r="C202" s="1" t="s">
        <v>123</v>
      </c>
      <c r="D202" s="1" t="s">
        <v>188</v>
      </c>
    </row>
    <row r="203" spans="1:4" ht="18">
      <c r="A203" s="4" t="str">
        <f t="shared" si="7"/>
        <v>70.951</v>
      </c>
      <c r="B203" s="1" t="str">
        <f t="shared" si="8"/>
        <v>- White. </v>
      </c>
      <c r="C203" s="1" t="s">
        <v>187</v>
      </c>
      <c r="D203" s="1" t="s">
        <v>195</v>
      </c>
    </row>
    <row r="204" spans="1:4" ht="18">
      <c r="A204" s="4" t="str">
        <f t="shared" si="7"/>
        <v>70.847</v>
      </c>
      <c r="B204" s="1" t="str">
        <f t="shared" si="8"/>
        <v>- Dark Sand</v>
      </c>
      <c r="C204" s="1" t="s">
        <v>189</v>
      </c>
      <c r="D204" s="1" t="s">
        <v>195</v>
      </c>
    </row>
    <row r="205" spans="1:4" ht="18">
      <c r="A205" s="4" t="str">
        <f t="shared" si="7"/>
        <v>70.988</v>
      </c>
      <c r="B205" s="1" t="str">
        <f t="shared" si="8"/>
        <v>- Khaki</v>
      </c>
      <c r="C205" s="1" t="s">
        <v>170</v>
      </c>
      <c r="D205" s="1" t="s">
        <v>195</v>
      </c>
    </row>
    <row r="206" spans="1:4" ht="18">
      <c r="A206" s="4" t="str">
        <f t="shared" si="7"/>
        <v>70.873</v>
      </c>
      <c r="B206" s="1" t="str">
        <f t="shared" si="8"/>
        <v>- US Field Drab</v>
      </c>
      <c r="C206" s="1" t="s">
        <v>190</v>
      </c>
      <c r="D206" s="1" t="s">
        <v>195</v>
      </c>
    </row>
    <row r="207" spans="1:4" ht="18">
      <c r="A207" s="4" t="str">
        <f t="shared" si="7"/>
        <v>70.983</v>
      </c>
      <c r="B207" s="1" t="str">
        <f t="shared" si="8"/>
        <v>- Flat Earth</v>
      </c>
      <c r="C207" s="1" t="s">
        <v>172</v>
      </c>
      <c r="D207" s="1" t="s">
        <v>195</v>
      </c>
    </row>
    <row r="208" spans="1:4" ht="18">
      <c r="A208" s="4" t="str">
        <f t="shared" si="7"/>
        <v>70.889</v>
      </c>
      <c r="B208" s="1" t="str">
        <f t="shared" si="8"/>
        <v>- Olive Brown</v>
      </c>
      <c r="C208" s="1" t="s">
        <v>191</v>
      </c>
      <c r="D208" s="1" t="s">
        <v>195</v>
      </c>
    </row>
    <row r="209" spans="1:4" ht="18">
      <c r="A209" s="4" t="str">
        <f t="shared" si="7"/>
        <v>70.893</v>
      </c>
      <c r="B209" s="1" t="str">
        <f t="shared" si="8"/>
        <v>- US Dark Green</v>
      </c>
      <c r="C209" s="1" t="s">
        <v>192</v>
      </c>
      <c r="D209" s="1" t="s">
        <v>195</v>
      </c>
    </row>
    <row r="210" spans="1:4" ht="18">
      <c r="A210" s="4" t="str">
        <f t="shared" si="7"/>
        <v>70.890</v>
      </c>
      <c r="B210" s="1" t="str">
        <f t="shared" si="8"/>
        <v>- Refractive Green</v>
      </c>
      <c r="C210" s="1" t="s">
        <v>193</v>
      </c>
      <c r="D210" s="1" t="s">
        <v>195</v>
      </c>
    </row>
    <row r="211" spans="1:4" ht="18">
      <c r="A211" s="4" t="str">
        <f t="shared" si="7"/>
        <v>70.862</v>
      </c>
      <c r="B211" s="1" t="str">
        <f t="shared" si="8"/>
        <v>- Black Grey</v>
      </c>
      <c r="C211" s="1" t="s">
        <v>194</v>
      </c>
      <c r="D211" s="1" t="s">
        <v>199</v>
      </c>
    </row>
    <row r="212" spans="1:4" ht="18">
      <c r="A212" s="4" t="str">
        <f t="shared" si="7"/>
        <v>70.879</v>
      </c>
      <c r="B212" s="1" t="str">
        <f t="shared" si="8"/>
        <v>- Green Brown</v>
      </c>
      <c r="C212" s="1" t="s">
        <v>81</v>
      </c>
      <c r="D212" s="1" t="s">
        <v>199</v>
      </c>
    </row>
    <row r="213" spans="1:4" ht="18">
      <c r="A213" s="4" t="str">
        <f t="shared" si="7"/>
        <v>70.880</v>
      </c>
      <c r="B213" s="1" t="str">
        <f t="shared" si="8"/>
        <v>- Khaki Grey</v>
      </c>
      <c r="C213" s="1" t="s">
        <v>196</v>
      </c>
      <c r="D213" s="1" t="s">
        <v>199</v>
      </c>
    </row>
    <row r="214" spans="1:4" ht="18">
      <c r="A214" s="4" t="str">
        <f t="shared" si="7"/>
        <v>70.887</v>
      </c>
      <c r="B214" s="1" t="str">
        <f t="shared" si="8"/>
        <v>- US Olive Drab</v>
      </c>
      <c r="C214" s="1" t="s">
        <v>82</v>
      </c>
      <c r="D214" s="1" t="s">
        <v>199</v>
      </c>
    </row>
    <row r="215" spans="1:4" ht="18">
      <c r="A215" s="4" t="str">
        <f t="shared" si="7"/>
        <v>70.890</v>
      </c>
      <c r="B215" s="1" t="str">
        <f t="shared" si="8"/>
        <v>- Refractive Green</v>
      </c>
      <c r="C215" s="1" t="s">
        <v>193</v>
      </c>
      <c r="D215" s="1" t="s">
        <v>199</v>
      </c>
    </row>
    <row r="216" spans="1:4" ht="18">
      <c r="A216" s="4" t="str">
        <f t="shared" si="7"/>
        <v>70.906</v>
      </c>
      <c r="B216" s="1" t="str">
        <f t="shared" si="8"/>
        <v>- Pale Blue</v>
      </c>
      <c r="C216" s="1" t="s">
        <v>197</v>
      </c>
      <c r="D216" s="1" t="s">
        <v>199</v>
      </c>
    </row>
    <row r="217" spans="1:4" ht="18">
      <c r="A217" s="4" t="str">
        <f t="shared" si="7"/>
        <v>70.914</v>
      </c>
      <c r="B217" s="1" t="str">
        <f t="shared" si="8"/>
        <v>- Green Ochre</v>
      </c>
      <c r="C217" s="1" t="s">
        <v>171</v>
      </c>
      <c r="D217" s="1" t="s">
        <v>199</v>
      </c>
    </row>
    <row r="218" spans="1:4" ht="18">
      <c r="A218" s="4" t="str">
        <f t="shared" si="7"/>
        <v>70.982</v>
      </c>
      <c r="B218" s="1" t="str">
        <f t="shared" si="8"/>
        <v>- Cavalry Brown</v>
      </c>
      <c r="C218" s="1" t="s">
        <v>198</v>
      </c>
      <c r="D218" s="1" t="s">
        <v>199</v>
      </c>
    </row>
    <row r="219" spans="1:4" ht="18">
      <c r="A219" s="4" t="str">
        <f t="shared" si="7"/>
        <v>70.988</v>
      </c>
      <c r="B219" s="1" t="str">
        <f t="shared" si="8"/>
        <v>- Khaki</v>
      </c>
      <c r="C219" s="1" t="s">
        <v>170</v>
      </c>
      <c r="D219" s="1" t="s">
        <v>214</v>
      </c>
    </row>
    <row r="220" spans="1:4" ht="18">
      <c r="A220" s="4" t="str">
        <f t="shared" si="7"/>
        <v>70.740</v>
      </c>
      <c r="B220" s="1" t="str">
        <f t="shared" si="8"/>
        <v>- Camouflage Middle Brown</v>
      </c>
      <c r="C220" s="1" t="s">
        <v>200</v>
      </c>
      <c r="D220" s="1" t="s">
        <v>214</v>
      </c>
    </row>
    <row r="221" spans="1:4" ht="18">
      <c r="A221" s="4" t="str">
        <f t="shared" si="7"/>
        <v>70.741</v>
      </c>
      <c r="B221" s="1" t="str">
        <f t="shared" si="8"/>
        <v>- Camouflage Black Green</v>
      </c>
      <c r="C221" s="1" t="s">
        <v>201</v>
      </c>
      <c r="D221" s="1" t="s">
        <v>214</v>
      </c>
    </row>
    <row r="222" spans="1:4" ht="18">
      <c r="A222" s="4" t="str">
        <f t="shared" si="7"/>
        <v>70.756</v>
      </c>
      <c r="B222" s="1" t="str">
        <f t="shared" si="8"/>
        <v>-Splinter Green</v>
      </c>
      <c r="C222" s="1" t="s">
        <v>202</v>
      </c>
      <c r="D222" s="1" t="s">
        <v>214</v>
      </c>
    </row>
    <row r="223" spans="1:4" ht="18">
      <c r="A223" s="4" t="str">
        <f t="shared" si="7"/>
        <v>70.758</v>
      </c>
      <c r="B223" s="1" t="str">
        <f t="shared" si="8"/>
        <v>- Bright Green</v>
      </c>
      <c r="C223" s="1" t="s">
        <v>203</v>
      </c>
      <c r="D223" s="1" t="s">
        <v>214</v>
      </c>
    </row>
    <row r="224" spans="1:4" ht="18">
      <c r="A224" s="4" t="str">
        <f t="shared" si="7"/>
        <v>70.821</v>
      </c>
      <c r="B224" s="1" t="str">
        <f t="shared" si="8"/>
        <v>- German Beige WWII</v>
      </c>
      <c r="C224" s="1" t="s">
        <v>204</v>
      </c>
      <c r="D224" s="1" t="s">
        <v>214</v>
      </c>
    </row>
    <row r="225" spans="1:4" ht="18">
      <c r="A225" s="4" t="str">
        <f t="shared" si="7"/>
        <v>70.822</v>
      </c>
      <c r="B225" s="1" t="str">
        <f t="shared" si="8"/>
        <v>- Camouflage Black Brown</v>
      </c>
      <c r="C225" s="1" t="s">
        <v>205</v>
      </c>
      <c r="D225" s="1" t="s">
        <v>214</v>
      </c>
    </row>
    <row r="226" spans="1:4" ht="18">
      <c r="A226" s="4" t="str">
        <f t="shared" si="7"/>
        <v>70.846</v>
      </c>
      <c r="B226" s="1" t="str">
        <f t="shared" si="8"/>
        <v>- Mahogany Brown</v>
      </c>
      <c r="C226" s="1" t="s">
        <v>206</v>
      </c>
      <c r="D226" s="1" t="s">
        <v>214</v>
      </c>
    </row>
    <row r="227" spans="1:4" ht="18">
      <c r="A227" s="4" t="str">
        <f t="shared" si="7"/>
        <v>70.875</v>
      </c>
      <c r="B227" s="1" t="str">
        <f t="shared" si="8"/>
        <v>- Beige Brown</v>
      </c>
      <c r="C227" s="1" t="s">
        <v>155</v>
      </c>
      <c r="D227" s="1" t="s">
        <v>214</v>
      </c>
    </row>
    <row r="228" spans="1:4" ht="18">
      <c r="A228" s="4" t="str">
        <f t="shared" si="7"/>
        <v>70.893</v>
      </c>
      <c r="B228" s="1" t="str">
        <f t="shared" si="8"/>
        <v>- US Dark Green</v>
      </c>
      <c r="C228" s="1" t="s">
        <v>192</v>
      </c>
      <c r="D228" s="1" t="s">
        <v>214</v>
      </c>
    </row>
    <row r="229" spans="1:4" ht="18">
      <c r="A229" s="4" t="str">
        <f t="shared" si="7"/>
        <v>70.913</v>
      </c>
      <c r="B229" s="1" t="str">
        <f t="shared" si="8"/>
        <v>- Yellow Ochre</v>
      </c>
      <c r="C229" s="1" t="s">
        <v>207</v>
      </c>
      <c r="D229" s="1" t="s">
        <v>214</v>
      </c>
    </row>
    <row r="230" spans="1:4" ht="18">
      <c r="A230" s="4" t="str">
        <f t="shared" si="7"/>
        <v>70.940</v>
      </c>
      <c r="B230" s="1" t="str">
        <f t="shared" si="8"/>
        <v>- Saddle Brown</v>
      </c>
      <c r="C230" s="1" t="s">
        <v>208</v>
      </c>
      <c r="D230" s="1" t="s">
        <v>214</v>
      </c>
    </row>
    <row r="231" spans="1:4" ht="18">
      <c r="A231" s="4" t="str">
        <f t="shared" si="7"/>
        <v>70.955</v>
      </c>
      <c r="B231" s="1" t="str">
        <f t="shared" si="8"/>
        <v>- Flat Flesh</v>
      </c>
      <c r="C231" s="1" t="s">
        <v>209</v>
      </c>
      <c r="D231" s="1" t="s">
        <v>214</v>
      </c>
    </row>
    <row r="232" spans="1:4" ht="18">
      <c r="A232" s="4" t="str">
        <f t="shared" si="7"/>
        <v>70.967</v>
      </c>
      <c r="B232" s="1" t="str">
        <f t="shared" si="8"/>
        <v>- Olive Green</v>
      </c>
      <c r="C232" s="1" t="s">
        <v>210</v>
      </c>
      <c r="D232" s="1" t="s">
        <v>214</v>
      </c>
    </row>
    <row r="233" spans="1:4" ht="18">
      <c r="A233" s="4" t="str">
        <f t="shared" si="7"/>
        <v>70.981</v>
      </c>
      <c r="B233" s="1" t="str">
        <f t="shared" si="8"/>
        <v>- Orange Brown</v>
      </c>
      <c r="C233" s="1" t="s">
        <v>211</v>
      </c>
      <c r="D233" s="1" t="s">
        <v>214</v>
      </c>
    </row>
    <row r="234" spans="1:4" ht="18">
      <c r="A234" s="4" t="str">
        <f t="shared" si="7"/>
        <v>70.984</v>
      </c>
      <c r="B234" s="1" t="str">
        <f t="shared" si="8"/>
        <v>- Flat Brown</v>
      </c>
      <c r="C234" s="1" t="s">
        <v>212</v>
      </c>
      <c r="D234" s="1" t="s">
        <v>214</v>
      </c>
    </row>
    <row r="235" spans="1:4" ht="18">
      <c r="A235" s="4" t="str">
        <f t="shared" si="7"/>
        <v>70.985</v>
      </c>
      <c r="B235" s="1" t="str">
        <f t="shared" si="8"/>
        <v>- Hull Red</v>
      </c>
      <c r="C235" s="1" t="s">
        <v>213</v>
      </c>
      <c r="D235" s="1" t="s">
        <v>225</v>
      </c>
    </row>
    <row r="236" spans="1:4" ht="18">
      <c r="A236" s="4" t="str">
        <f t="shared" si="7"/>
        <v>70.981</v>
      </c>
      <c r="B236" s="1" t="str">
        <f t="shared" si="8"/>
        <v>- Orange Brown</v>
      </c>
      <c r="C236" s="1" t="s">
        <v>211</v>
      </c>
      <c r="D236" s="1" t="s">
        <v>225</v>
      </c>
    </row>
    <row r="237" spans="1:4" ht="18">
      <c r="A237" s="4" t="str">
        <f t="shared" si="7"/>
        <v>71.042</v>
      </c>
      <c r="B237" s="1" t="str">
        <f t="shared" si="8"/>
        <v>- Dark Brown RLM61</v>
      </c>
      <c r="C237" s="1" t="s">
        <v>215</v>
      </c>
      <c r="D237" s="1" t="s">
        <v>225</v>
      </c>
    </row>
    <row r="238" spans="1:4" ht="18">
      <c r="A238" s="4" t="str">
        <f t="shared" si="7"/>
        <v>74.506</v>
      </c>
      <c r="B238" s="1" t="str">
        <f t="shared" si="8"/>
        <v>- Rust</v>
      </c>
      <c r="C238" s="1" t="s">
        <v>216</v>
      </c>
      <c r="D238" s="1" t="s">
        <v>225</v>
      </c>
    </row>
    <row r="239" spans="1:4" ht="18">
      <c r="A239" s="4" t="str">
        <f t="shared" si="7"/>
        <v>74.513</v>
      </c>
      <c r="B239" s="1" t="str">
        <f t="shared" si="8"/>
        <v>- Brown</v>
      </c>
      <c r="C239" s="1" t="s">
        <v>217</v>
      </c>
      <c r="D239" s="1" t="s">
        <v>225</v>
      </c>
    </row>
    <row r="240" spans="1:4" ht="18">
      <c r="A240" s="4" t="str">
        <f t="shared" si="7"/>
        <v>74.521</v>
      </c>
      <c r="B240" s="1" t="str">
        <f t="shared" si="8"/>
        <v>- Oiled Earth</v>
      </c>
      <c r="C240" s="1" t="s">
        <v>221</v>
      </c>
      <c r="D240" s="1" t="s">
        <v>225</v>
      </c>
    </row>
    <row r="241" spans="1:4" ht="18">
      <c r="A241" s="4" t="str">
        <f t="shared" si="7"/>
        <v>76.813</v>
      </c>
      <c r="B241" s="1" t="str">
        <f t="shared" si="8"/>
        <v>- Oil Stains</v>
      </c>
      <c r="C241" s="1" t="s">
        <v>222</v>
      </c>
      <c r="D241" s="1" t="s">
        <v>225</v>
      </c>
    </row>
    <row r="242" spans="1:4" ht="18">
      <c r="A242" s="4" t="str">
        <f t="shared" si="7"/>
        <v>76.817</v>
      </c>
      <c r="B242" s="1" t="str">
        <f t="shared" si="8"/>
        <v>- Petrol Spills</v>
      </c>
      <c r="C242" s="1" t="s">
        <v>223</v>
      </c>
      <c r="D242" s="1" t="s">
        <v>225</v>
      </c>
    </row>
    <row r="243" spans="1:4" ht="18">
      <c r="A243" s="4" t="str">
        <f t="shared" si="7"/>
        <v>76.818</v>
      </c>
      <c r="B243" s="1" t="str">
        <f t="shared" si="8"/>
        <v>- Brown Engine Soot</v>
      </c>
      <c r="C243" s="1" t="s">
        <v>224</v>
      </c>
    </row>
  </sheetData>
  <autoFilter ref="A1:C78" xr:uid="{698D380E-185F-AF4F-B85F-5B8B53DEFC92}"/>
  <sortState xmlns:xlrd2="http://schemas.microsoft.com/office/spreadsheetml/2017/richdata2" ref="A2:C78">
    <sortCondition ref="A2:A78"/>
  </sortState>
  <phoneticPr fontId="5" type="noConversion"/>
  <conditionalFormatting sqref="A1:A1048576">
    <cfRule type="duplicateValues" dxfId="13" priority="5"/>
  </conditionalFormatting>
  <conditionalFormatting sqref="C79:C86">
    <cfRule type="duplicateValues" dxfId="12" priority="1"/>
    <cfRule type="duplicateValues" dxfId="11" priority="2"/>
  </conditionalFormatting>
  <conditionalFormatting sqref="C244:C1048576 C1:C78">
    <cfRule type="duplicateValues" dxfId="10" priority="7"/>
  </conditionalFormatting>
  <conditionalFormatting sqref="D243:XFD1048576 C244:C1048576 A1:XFD1 C88:C103 E2:XFD86 D87:XFD202 E203:XFD242 A2:C78 A55:A243 A79:B1048576">
    <cfRule type="duplicateValues" dxfId="9" priority="6"/>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B6ED5-1772-BD46-86AB-DE584CF67A91}">
  <sheetPr codeName="Blad5"/>
  <dimension ref="A1:E149"/>
  <sheetViews>
    <sheetView workbookViewId="0">
      <selection activeCell="A2" sqref="A2:XFD2"/>
    </sheetView>
  </sheetViews>
  <sheetFormatPr baseColWidth="10" defaultColWidth="18.1640625" defaultRowHeight="19"/>
  <cols>
    <col min="1" max="1" width="9" style="5" bestFit="1" customWidth="1"/>
    <col min="2" max="2" width="41.5" bestFit="1" customWidth="1"/>
    <col min="3" max="3" width="48.1640625" bestFit="1" customWidth="1"/>
    <col min="4" max="4" width="84.5" bestFit="1" customWidth="1"/>
  </cols>
  <sheetData>
    <row r="1" spans="1:5">
      <c r="A1" s="3" t="s">
        <v>77</v>
      </c>
      <c r="B1" s="2" t="s">
        <v>78</v>
      </c>
      <c r="C1" s="2" t="s">
        <v>79</v>
      </c>
    </row>
    <row r="2" spans="1:5">
      <c r="A2" s="3"/>
      <c r="B2" s="2"/>
      <c r="C2" s="2"/>
    </row>
    <row r="3" spans="1:5" s="2" customFormat="1">
      <c r="A3" s="4" t="str">
        <f t="shared" ref="A3:A66" si="0">LEFT(C3,6)</f>
        <v>70.520</v>
      </c>
      <c r="B3" s="1" t="str">
        <f t="shared" ref="B3:B66" si="1">MID(C3,8,999)</f>
        <v>Matt Varnish</v>
      </c>
      <c r="C3" s="1" t="s">
        <v>75</v>
      </c>
      <c r="D3" s="8" t="s">
        <v>165</v>
      </c>
    </row>
    <row r="4" spans="1:5">
      <c r="A4" s="4" t="str">
        <f t="shared" si="0"/>
        <v>70.524</v>
      </c>
      <c r="B4" s="1" t="str">
        <f t="shared" si="1"/>
        <v>Thinner Medium</v>
      </c>
      <c r="C4" s="1" t="s">
        <v>76</v>
      </c>
      <c r="D4" s="8" t="s">
        <v>165</v>
      </c>
    </row>
    <row r="5" spans="1:5">
      <c r="A5" s="4" t="str">
        <f t="shared" si="0"/>
        <v>70.740</v>
      </c>
      <c r="B5" s="1" t="str">
        <f t="shared" si="1"/>
        <v>Camouflage Middle Brown</v>
      </c>
      <c r="C5" s="1" t="s">
        <v>32</v>
      </c>
      <c r="D5" s="8" t="s">
        <v>165</v>
      </c>
    </row>
    <row r="6" spans="1:5">
      <c r="A6" s="4" t="str">
        <f t="shared" si="0"/>
        <v>70.741</v>
      </c>
      <c r="B6" s="1" t="str">
        <f t="shared" si="1"/>
        <v>Camouflage Black Green</v>
      </c>
      <c r="C6" s="1" t="s">
        <v>27</v>
      </c>
      <c r="D6" s="8" t="s">
        <v>165</v>
      </c>
    </row>
    <row r="7" spans="1:5">
      <c r="A7" s="4" t="str">
        <f t="shared" si="0"/>
        <v>70.754</v>
      </c>
      <c r="B7" s="1" t="str">
        <f t="shared" si="1"/>
        <v>Continental Blue</v>
      </c>
      <c r="C7" s="1" t="s">
        <v>7</v>
      </c>
      <c r="D7" s="8" t="s">
        <v>165</v>
      </c>
    </row>
    <row r="8" spans="1:5">
      <c r="A8" s="4" t="str">
        <f t="shared" si="0"/>
        <v>70.756</v>
      </c>
      <c r="B8" s="1" t="str">
        <f t="shared" si="1"/>
        <v>Splinter Green</v>
      </c>
      <c r="C8" s="1" t="s">
        <v>8</v>
      </c>
      <c r="D8" s="8" t="s">
        <v>165</v>
      </c>
      <c r="E8" s="10" t="s">
        <v>239</v>
      </c>
    </row>
    <row r="9" spans="1:5">
      <c r="A9" s="4" t="str">
        <f t="shared" si="0"/>
        <v>70.757</v>
      </c>
      <c r="B9" s="1" t="str">
        <f t="shared" si="1"/>
        <v>Pacific Green</v>
      </c>
      <c r="C9" s="1" t="s">
        <v>10</v>
      </c>
      <c r="D9" s="8" t="s">
        <v>165</v>
      </c>
      <c r="E9" s="10" t="s">
        <v>240</v>
      </c>
    </row>
    <row r="10" spans="1:5">
      <c r="A10" s="4" t="str">
        <f t="shared" si="0"/>
        <v>70.758</v>
      </c>
      <c r="B10" s="1" t="str">
        <f t="shared" si="1"/>
        <v>Bright Green</v>
      </c>
      <c r="C10" s="1" t="s">
        <v>13</v>
      </c>
      <c r="D10" s="8" t="s">
        <v>165</v>
      </c>
      <c r="E10" s="10" t="s">
        <v>241</v>
      </c>
    </row>
    <row r="11" spans="1:5">
      <c r="A11" s="4" t="str">
        <f t="shared" si="0"/>
        <v>70.759</v>
      </c>
      <c r="B11" s="1" t="str">
        <f t="shared" si="1"/>
        <v>German Tank Crew</v>
      </c>
      <c r="C11" s="1" t="s">
        <v>21</v>
      </c>
      <c r="D11" s="8" t="s">
        <v>165</v>
      </c>
      <c r="E11" s="10" t="s">
        <v>242</v>
      </c>
    </row>
    <row r="12" spans="1:5">
      <c r="A12" s="4" t="str">
        <f t="shared" si="0"/>
        <v>70.761</v>
      </c>
      <c r="B12" s="1" t="str">
        <f t="shared" si="1"/>
        <v>Old Wood</v>
      </c>
      <c r="C12" s="1" t="s">
        <v>45</v>
      </c>
      <c r="D12" s="8" t="s">
        <v>165</v>
      </c>
      <c r="E12" s="10" t="s">
        <v>243</v>
      </c>
    </row>
    <row r="13" spans="1:5">
      <c r="A13" s="4" t="str">
        <f t="shared" si="0"/>
        <v>70.762</v>
      </c>
      <c r="B13" s="1" t="str">
        <f t="shared" si="1"/>
        <v>Grey Brown</v>
      </c>
      <c r="C13" s="1" t="s">
        <v>30</v>
      </c>
      <c r="D13" s="8" t="s">
        <v>165</v>
      </c>
      <c r="E13" s="10" t="s">
        <v>244</v>
      </c>
    </row>
    <row r="14" spans="1:5">
      <c r="A14" s="4" t="str">
        <f t="shared" si="0"/>
        <v>70.763</v>
      </c>
      <c r="B14" s="1" t="str">
        <f t="shared" si="1"/>
        <v>Canvas</v>
      </c>
      <c r="C14" s="1" t="s">
        <v>31</v>
      </c>
      <c r="D14" s="8" t="s">
        <v>165</v>
      </c>
      <c r="E14" s="10" t="s">
        <v>245</v>
      </c>
    </row>
    <row r="15" spans="1:5">
      <c r="A15" s="4" t="str">
        <f t="shared" si="0"/>
        <v>70.764</v>
      </c>
      <c r="B15" s="1" t="str">
        <f t="shared" si="1"/>
        <v>Military Yellow</v>
      </c>
      <c r="C15" s="1" t="s">
        <v>37</v>
      </c>
      <c r="D15" s="8" t="s">
        <v>165</v>
      </c>
      <c r="E15" s="10" t="s">
        <v>246</v>
      </c>
    </row>
    <row r="16" spans="1:5">
      <c r="A16" s="4" t="str">
        <f t="shared" si="0"/>
        <v>70.765</v>
      </c>
      <c r="B16" s="1" t="str">
        <f t="shared" si="1"/>
        <v>Desert Tan</v>
      </c>
      <c r="C16" s="1" t="s">
        <v>46</v>
      </c>
      <c r="D16" s="8" t="s">
        <v>165</v>
      </c>
      <c r="E16" s="10" t="s">
        <v>247</v>
      </c>
    </row>
    <row r="17" spans="1:5">
      <c r="A17" s="4" t="str">
        <f t="shared" si="0"/>
        <v>70.766</v>
      </c>
      <c r="B17" s="1" t="str">
        <f t="shared" si="1"/>
        <v>Cream White</v>
      </c>
      <c r="C17" s="1" t="s">
        <v>2</v>
      </c>
      <c r="D17" s="8" t="s">
        <v>165</v>
      </c>
      <c r="E17" s="10" t="s">
        <v>248</v>
      </c>
    </row>
    <row r="18" spans="1:5">
      <c r="A18" s="4" t="str">
        <f t="shared" si="0"/>
        <v>70.767</v>
      </c>
      <c r="B18" s="1" t="str">
        <f t="shared" si="1"/>
        <v>Desert Brown</v>
      </c>
      <c r="C18" s="1" t="s">
        <v>44</v>
      </c>
      <c r="D18" s="8" t="s">
        <v>165</v>
      </c>
      <c r="E18" s="10" t="s">
        <v>249</v>
      </c>
    </row>
    <row r="19" spans="1:5">
      <c r="A19" s="4" t="str">
        <f t="shared" si="0"/>
        <v>70.769</v>
      </c>
      <c r="B19" s="1" t="str">
        <f t="shared" si="1"/>
        <v>Mustard Brown</v>
      </c>
      <c r="C19" s="1" t="s">
        <v>52</v>
      </c>
      <c r="D19" s="8" t="s">
        <v>165</v>
      </c>
      <c r="E19" s="10" t="s">
        <v>250</v>
      </c>
    </row>
    <row r="20" spans="1:5">
      <c r="A20" s="4" t="str">
        <f t="shared" si="0"/>
        <v>70.772</v>
      </c>
      <c r="B20" s="1" t="str">
        <f t="shared" si="1"/>
        <v>Medium Grey Blue</v>
      </c>
      <c r="C20" s="1" t="s">
        <v>65</v>
      </c>
      <c r="D20" s="8" t="s">
        <v>165</v>
      </c>
      <c r="E20" s="10" t="s">
        <v>251</v>
      </c>
    </row>
    <row r="21" spans="1:5">
      <c r="A21" s="4" t="str">
        <f t="shared" si="0"/>
        <v>70.801</v>
      </c>
      <c r="B21" s="1" t="str">
        <f t="shared" si="1"/>
        <v>Brass</v>
      </c>
      <c r="C21" s="1" t="s">
        <v>74</v>
      </c>
      <c r="D21" s="8" t="s">
        <v>165</v>
      </c>
      <c r="E21" s="10" t="s">
        <v>252</v>
      </c>
    </row>
    <row r="22" spans="1:5">
      <c r="A22" s="4" t="str">
        <f t="shared" si="0"/>
        <v>70.814</v>
      </c>
      <c r="B22" s="1" t="str">
        <f t="shared" si="1"/>
        <v>Burnt Red</v>
      </c>
      <c r="C22" s="1" t="s">
        <v>60</v>
      </c>
      <c r="D22" s="8" t="s">
        <v>165</v>
      </c>
      <c r="E22" s="10" t="s">
        <v>253</v>
      </c>
    </row>
    <row r="23" spans="1:5">
      <c r="A23" s="4" t="str">
        <f t="shared" si="0"/>
        <v>70.816</v>
      </c>
      <c r="B23" s="1" t="str">
        <f t="shared" si="1"/>
        <v>Luftwaffe Uniform</v>
      </c>
      <c r="C23" s="1" t="s">
        <v>66</v>
      </c>
      <c r="D23" s="8" t="s">
        <v>165</v>
      </c>
      <c r="E23" s="10" t="s">
        <v>254</v>
      </c>
    </row>
    <row r="24" spans="1:5">
      <c r="A24" s="4" t="str">
        <f t="shared" si="0"/>
        <v>70.821</v>
      </c>
      <c r="B24" s="1" t="str">
        <f t="shared" si="1"/>
        <v>German Beige WWII</v>
      </c>
      <c r="C24" s="1" t="s">
        <v>28</v>
      </c>
      <c r="D24" s="8" t="s">
        <v>165</v>
      </c>
      <c r="E24" s="10" t="s">
        <v>255</v>
      </c>
    </row>
    <row r="25" spans="1:5">
      <c r="A25" s="4" t="str">
        <f t="shared" si="0"/>
        <v>70.822</v>
      </c>
      <c r="B25" s="1" t="str">
        <f t="shared" si="1"/>
        <v>Camouflage Black Brown</v>
      </c>
      <c r="C25" s="1" t="s">
        <v>50</v>
      </c>
      <c r="D25" s="8" t="s">
        <v>165</v>
      </c>
      <c r="E25" s="10" t="s">
        <v>256</v>
      </c>
    </row>
    <row r="26" spans="1:5">
      <c r="A26" s="4" t="str">
        <f t="shared" si="0"/>
        <v>70.823</v>
      </c>
      <c r="B26" s="1" t="str">
        <f t="shared" si="1"/>
        <v>Luftwaffe Green</v>
      </c>
      <c r="C26" s="1" t="s">
        <v>17</v>
      </c>
      <c r="D26" s="8" t="s">
        <v>165</v>
      </c>
      <c r="E26" s="10" t="s">
        <v>257</v>
      </c>
    </row>
    <row r="27" spans="1:5">
      <c r="A27" s="4" t="str">
        <f t="shared" si="0"/>
        <v>70.830</v>
      </c>
      <c r="B27" s="1" t="str">
        <f t="shared" si="1"/>
        <v>German Fieldgrey WWII</v>
      </c>
      <c r="C27" s="1" t="s">
        <v>20</v>
      </c>
      <c r="D27" s="8" t="s">
        <v>165</v>
      </c>
      <c r="E27" s="10" t="s">
        <v>258</v>
      </c>
    </row>
    <row r="28" spans="1:5">
      <c r="A28" s="4" t="str">
        <f t="shared" si="0"/>
        <v>70.837</v>
      </c>
      <c r="B28" s="1" t="str">
        <f t="shared" si="1"/>
        <v>Pale Sand</v>
      </c>
      <c r="C28" s="1" t="s">
        <v>3</v>
      </c>
      <c r="D28" s="8" t="s">
        <v>165</v>
      </c>
      <c r="E28" s="10" t="s">
        <v>259</v>
      </c>
    </row>
    <row r="29" spans="1:5">
      <c r="A29" s="4" t="str">
        <f t="shared" si="0"/>
        <v>70.846</v>
      </c>
      <c r="B29" s="1" t="str">
        <f t="shared" si="1"/>
        <v>Mahogany Brown</v>
      </c>
      <c r="C29" s="1" t="s">
        <v>56</v>
      </c>
      <c r="D29" s="8" t="s">
        <v>165</v>
      </c>
      <c r="E29" s="10" t="s">
        <v>219</v>
      </c>
    </row>
    <row r="30" spans="1:5">
      <c r="A30" s="4" t="str">
        <f t="shared" si="0"/>
        <v>70.847</v>
      </c>
      <c r="B30" s="1" t="str">
        <f t="shared" si="1"/>
        <v>Dark Sand</v>
      </c>
      <c r="C30" s="1" t="s">
        <v>43</v>
      </c>
      <c r="D30" s="8" t="s">
        <v>165</v>
      </c>
      <c r="E30" s="10" t="s">
        <v>260</v>
      </c>
    </row>
    <row r="31" spans="1:5">
      <c r="A31" s="4" t="str">
        <f t="shared" si="0"/>
        <v>70.863</v>
      </c>
      <c r="B31" s="1" t="str">
        <f t="shared" si="1"/>
        <v>Gunmetal</v>
      </c>
      <c r="C31" s="1" t="s">
        <v>73</v>
      </c>
      <c r="D31" s="8" t="s">
        <v>165</v>
      </c>
      <c r="E31" s="10" t="s">
        <v>261</v>
      </c>
    </row>
    <row r="32" spans="1:5">
      <c r="A32" s="4" t="str">
        <f t="shared" si="0"/>
        <v>70.866</v>
      </c>
      <c r="B32" s="1" t="str">
        <f t="shared" si="1"/>
        <v>Grey Green</v>
      </c>
      <c r="C32" s="1" t="s">
        <v>68</v>
      </c>
      <c r="D32" s="8" t="s">
        <v>165</v>
      </c>
      <c r="E32" s="10" t="s">
        <v>262</v>
      </c>
    </row>
    <row r="33" spans="1:5">
      <c r="A33" s="4" t="str">
        <f t="shared" si="0"/>
        <v>70.867</v>
      </c>
      <c r="B33" s="1" t="str">
        <f t="shared" si="1"/>
        <v>Dark Blue Grey</v>
      </c>
      <c r="C33" s="1" t="s">
        <v>67</v>
      </c>
      <c r="D33" s="8" t="s">
        <v>165</v>
      </c>
      <c r="E33" s="10" t="s">
        <v>263</v>
      </c>
    </row>
    <row r="34" spans="1:5">
      <c r="A34" s="4" t="str">
        <f t="shared" si="0"/>
        <v>70.868</v>
      </c>
      <c r="B34" s="1" t="str">
        <f t="shared" si="1"/>
        <v>Dark Sea Green</v>
      </c>
      <c r="C34" s="1" t="s">
        <v>69</v>
      </c>
      <c r="D34" s="8" t="s">
        <v>165</v>
      </c>
      <c r="E34" s="10" t="s">
        <v>264</v>
      </c>
    </row>
    <row r="35" spans="1:5">
      <c r="A35" s="4" t="str">
        <f t="shared" si="0"/>
        <v>70.871</v>
      </c>
      <c r="B35" s="1" t="str">
        <f t="shared" si="1"/>
        <v>Leather Brown</v>
      </c>
      <c r="C35" s="1" t="s">
        <v>49</v>
      </c>
      <c r="D35" s="8" t="s">
        <v>165</v>
      </c>
      <c r="E35" s="10" t="s">
        <v>265</v>
      </c>
    </row>
    <row r="36" spans="1:5">
      <c r="A36" s="4" t="str">
        <f t="shared" si="0"/>
        <v>70.873</v>
      </c>
      <c r="B36" s="1" t="str">
        <f t="shared" si="1"/>
        <v>US Field Drab</v>
      </c>
      <c r="C36" s="1" t="s">
        <v>48</v>
      </c>
      <c r="D36" s="8" t="s">
        <v>165</v>
      </c>
      <c r="E36" s="10" t="s">
        <v>266</v>
      </c>
    </row>
    <row r="37" spans="1:5">
      <c r="A37" s="4" t="str">
        <f t="shared" si="0"/>
        <v>70.874</v>
      </c>
      <c r="B37" s="1" t="str">
        <f t="shared" si="1"/>
        <v>Tan Earth</v>
      </c>
      <c r="C37" s="1" t="s">
        <v>47</v>
      </c>
      <c r="D37" s="8" t="s">
        <v>165</v>
      </c>
      <c r="E37" s="10" t="s">
        <v>267</v>
      </c>
    </row>
    <row r="38" spans="1:5">
      <c r="A38" s="4" t="str">
        <f t="shared" si="0"/>
        <v>70.875</v>
      </c>
      <c r="B38" s="1" t="str">
        <f t="shared" si="1"/>
        <v>Beige Brown</v>
      </c>
      <c r="C38" s="1" t="s">
        <v>53</v>
      </c>
      <c r="D38" s="8" t="s">
        <v>165</v>
      </c>
    </row>
    <row r="39" spans="1:5">
      <c r="A39" s="4" t="str">
        <f t="shared" si="0"/>
        <v>70.879</v>
      </c>
      <c r="B39" s="1" t="str">
        <f t="shared" si="1"/>
        <v>Green Brown</v>
      </c>
      <c r="C39" s="1" t="s">
        <v>39</v>
      </c>
      <c r="D39" s="8" t="s">
        <v>165</v>
      </c>
    </row>
    <row r="40" spans="1:5">
      <c r="A40" s="4" t="str">
        <f t="shared" si="0"/>
        <v>70.880</v>
      </c>
      <c r="B40" s="1" t="str">
        <f t="shared" si="1"/>
        <v>Khaki Grey</v>
      </c>
      <c r="C40" s="1" t="s">
        <v>42</v>
      </c>
      <c r="D40" s="8" t="s">
        <v>165</v>
      </c>
    </row>
    <row r="41" spans="1:5">
      <c r="A41" s="4" t="str">
        <f t="shared" si="0"/>
        <v>70.881</v>
      </c>
      <c r="B41" s="1" t="str">
        <f t="shared" si="1"/>
        <v>Green Yellow</v>
      </c>
      <c r="C41" s="1" t="s">
        <v>34</v>
      </c>
      <c r="D41" s="8" t="s">
        <v>165</v>
      </c>
    </row>
    <row r="42" spans="1:5">
      <c r="A42" s="4" t="str">
        <f t="shared" si="0"/>
        <v>70.886</v>
      </c>
      <c r="B42" s="1" t="str">
        <f t="shared" si="1"/>
        <v>Green Grey</v>
      </c>
      <c r="C42" s="1" t="s">
        <v>19</v>
      </c>
      <c r="D42" s="8" t="s">
        <v>165</v>
      </c>
    </row>
    <row r="43" spans="1:5">
      <c r="A43" s="4" t="str">
        <f t="shared" si="0"/>
        <v>70.887</v>
      </c>
      <c r="B43" s="1" t="str">
        <f t="shared" si="1"/>
        <v>US Olive Drab</v>
      </c>
      <c r="C43" s="1" t="s">
        <v>35</v>
      </c>
      <c r="D43" s="8" t="s">
        <v>165</v>
      </c>
    </row>
    <row r="44" spans="1:5">
      <c r="A44" s="4" t="str">
        <f t="shared" si="0"/>
        <v>70.890</v>
      </c>
      <c r="B44" s="1" t="str">
        <f t="shared" si="1"/>
        <v>Refractive Green</v>
      </c>
      <c r="C44" s="1" t="s">
        <v>25</v>
      </c>
      <c r="D44" s="8" t="s">
        <v>165</v>
      </c>
    </row>
    <row r="45" spans="1:5">
      <c r="A45" s="4" t="str">
        <f t="shared" si="0"/>
        <v>70.893</v>
      </c>
      <c r="B45" s="1" t="str">
        <f t="shared" si="1"/>
        <v>US Dark Green</v>
      </c>
      <c r="C45" s="1" t="s">
        <v>24</v>
      </c>
      <c r="D45" s="8" t="s">
        <v>165</v>
      </c>
    </row>
    <row r="46" spans="1:5">
      <c r="A46" s="4" t="str">
        <f t="shared" si="0"/>
        <v>70.894</v>
      </c>
      <c r="B46" s="1" t="str">
        <f t="shared" si="1"/>
        <v>Camouflage Olive Green</v>
      </c>
      <c r="C46" s="1" t="s">
        <v>26</v>
      </c>
      <c r="D46" s="8" t="s">
        <v>165</v>
      </c>
    </row>
    <row r="47" spans="1:5">
      <c r="A47" s="4" t="str">
        <f t="shared" si="0"/>
        <v>70.895</v>
      </c>
      <c r="B47" s="1" t="str">
        <f t="shared" si="1"/>
        <v>Gunship Green</v>
      </c>
      <c r="C47" s="1" t="s">
        <v>11</v>
      </c>
      <c r="D47" s="8" t="s">
        <v>165</v>
      </c>
    </row>
    <row r="48" spans="1:5">
      <c r="A48" s="4" t="str">
        <f t="shared" si="0"/>
        <v>70.896</v>
      </c>
      <c r="B48" s="1" t="str">
        <f t="shared" si="1"/>
        <v>Extra Dark Green</v>
      </c>
      <c r="C48" s="1" t="s">
        <v>22</v>
      </c>
      <c r="D48" s="8" t="s">
        <v>165</v>
      </c>
    </row>
    <row r="49" spans="1:4">
      <c r="A49" s="4" t="str">
        <f t="shared" si="0"/>
        <v>70.897</v>
      </c>
      <c r="B49" s="1" t="str">
        <f t="shared" si="1"/>
        <v>Bronze Green</v>
      </c>
      <c r="C49" s="1" t="s">
        <v>12</v>
      </c>
      <c r="D49" s="8" t="s">
        <v>165</v>
      </c>
    </row>
    <row r="50" spans="1:4">
      <c r="A50" s="4" t="str">
        <f t="shared" si="0"/>
        <v>70.906</v>
      </c>
      <c r="B50" s="1" t="str">
        <f t="shared" si="1"/>
        <v>Pale Blue</v>
      </c>
      <c r="C50" s="1" t="s">
        <v>63</v>
      </c>
      <c r="D50" s="8" t="s">
        <v>165</v>
      </c>
    </row>
    <row r="51" spans="1:4">
      <c r="A51" s="4" t="str">
        <f t="shared" si="0"/>
        <v>70.914</v>
      </c>
      <c r="B51" s="1" t="str">
        <f t="shared" si="1"/>
        <v>Green Ochre</v>
      </c>
      <c r="C51" s="1" t="s">
        <v>41</v>
      </c>
      <c r="D51" s="8" t="s">
        <v>165</v>
      </c>
    </row>
    <row r="52" spans="1:4">
      <c r="A52" s="4" t="str">
        <f t="shared" si="0"/>
        <v>70.921</v>
      </c>
      <c r="B52" s="1" t="str">
        <f t="shared" si="1"/>
        <v>English Uniform</v>
      </c>
      <c r="C52" s="1" t="s">
        <v>40</v>
      </c>
      <c r="D52" s="8" t="s">
        <v>165</v>
      </c>
    </row>
    <row r="53" spans="1:4">
      <c r="A53" s="4" t="str">
        <f t="shared" si="0"/>
        <v>70.922</v>
      </c>
      <c r="B53" s="1" t="str">
        <f t="shared" si="1"/>
        <v>Uniform Green</v>
      </c>
      <c r="C53" s="1" t="s">
        <v>16</v>
      </c>
      <c r="D53" s="8" t="s">
        <v>165</v>
      </c>
    </row>
    <row r="54" spans="1:4">
      <c r="A54" s="4" t="str">
        <f t="shared" si="0"/>
        <v>70.923</v>
      </c>
      <c r="B54" s="1" t="str">
        <f t="shared" si="1"/>
        <v>Japanese Uniform WWII</v>
      </c>
      <c r="C54" s="1" t="s">
        <v>38</v>
      </c>
      <c r="D54" s="8" t="s">
        <v>165</v>
      </c>
    </row>
    <row r="55" spans="1:4">
      <c r="A55" s="4" t="str">
        <f t="shared" si="0"/>
        <v>70.924</v>
      </c>
      <c r="B55" s="1" t="str">
        <f t="shared" si="1"/>
        <v>Russian Uniform WWII</v>
      </c>
      <c r="C55" s="1" t="s">
        <v>23</v>
      </c>
      <c r="D55" s="8" t="s">
        <v>165</v>
      </c>
    </row>
    <row r="56" spans="1:4">
      <c r="A56" s="4" t="str">
        <f t="shared" si="0"/>
        <v>70.940</v>
      </c>
      <c r="B56" s="1" t="str">
        <f t="shared" si="1"/>
        <v>Saddle Brown</v>
      </c>
      <c r="C56" s="1" t="s">
        <v>55</v>
      </c>
      <c r="D56" s="8" t="s">
        <v>165</v>
      </c>
    </row>
    <row r="57" spans="1:4">
      <c r="A57" s="4" t="str">
        <f t="shared" si="0"/>
        <v>70.941</v>
      </c>
      <c r="B57" s="1" t="str">
        <f t="shared" si="1"/>
        <v>Burnt Umber</v>
      </c>
      <c r="C57" s="1" t="s">
        <v>33</v>
      </c>
      <c r="D57" s="8" t="s">
        <v>165</v>
      </c>
    </row>
    <row r="58" spans="1:4">
      <c r="A58" s="4" t="str">
        <f t="shared" si="0"/>
        <v>70.947</v>
      </c>
      <c r="B58" s="1" t="str">
        <f t="shared" si="1"/>
        <v>Dark Vermilion</v>
      </c>
      <c r="C58" s="1" t="s">
        <v>5</v>
      </c>
      <c r="D58" s="8" t="s">
        <v>165</v>
      </c>
    </row>
    <row r="59" spans="1:4">
      <c r="A59" s="4" t="str">
        <f t="shared" si="0"/>
        <v>70.950</v>
      </c>
      <c r="B59" s="1" t="str">
        <f t="shared" si="1"/>
        <v>Black</v>
      </c>
      <c r="C59" s="1" t="s">
        <v>71</v>
      </c>
      <c r="D59" s="8" t="s">
        <v>165</v>
      </c>
    </row>
    <row r="60" spans="1:4">
      <c r="A60" s="4" t="str">
        <f t="shared" si="0"/>
        <v>70.951</v>
      </c>
      <c r="B60" s="1" t="str">
        <f t="shared" si="1"/>
        <v>White</v>
      </c>
      <c r="C60" s="1" t="s">
        <v>0</v>
      </c>
      <c r="D60" s="8" t="s">
        <v>165</v>
      </c>
    </row>
    <row r="61" spans="1:4">
      <c r="A61" s="4" t="str">
        <f t="shared" si="0"/>
        <v>70.953</v>
      </c>
      <c r="B61" s="1" t="str">
        <f t="shared" si="1"/>
        <v>Flat Yellow</v>
      </c>
      <c r="C61" s="1" t="s">
        <v>4</v>
      </c>
      <c r="D61" s="8" t="s">
        <v>165</v>
      </c>
    </row>
    <row r="62" spans="1:4">
      <c r="A62" s="4" t="str">
        <f t="shared" si="0"/>
        <v>70.955</v>
      </c>
      <c r="B62" s="1" t="str">
        <f t="shared" si="1"/>
        <v>Flat Flesh</v>
      </c>
      <c r="C62" s="1" t="s">
        <v>1</v>
      </c>
      <c r="D62" s="8" t="s">
        <v>165</v>
      </c>
    </row>
    <row r="63" spans="1:4">
      <c r="A63" s="4" t="str">
        <f t="shared" si="0"/>
        <v>70.965</v>
      </c>
      <c r="B63" s="1" t="str">
        <f t="shared" si="1"/>
        <v>Prussian Blue</v>
      </c>
      <c r="C63" s="1" t="s">
        <v>6</v>
      </c>
      <c r="D63" s="8" t="s">
        <v>165</v>
      </c>
    </row>
    <row r="64" spans="1:4">
      <c r="A64" s="4" t="str">
        <f t="shared" si="0"/>
        <v>70.967</v>
      </c>
      <c r="B64" s="1" t="str">
        <f t="shared" si="1"/>
        <v>Olive Green</v>
      </c>
      <c r="C64" s="1" t="s">
        <v>15</v>
      </c>
      <c r="D64" s="8" t="s">
        <v>165</v>
      </c>
    </row>
    <row r="65" spans="1:5">
      <c r="A65" s="4" t="str">
        <f t="shared" si="0"/>
        <v>70.971</v>
      </c>
      <c r="B65" s="1" t="str">
        <f t="shared" si="1"/>
        <v>Light Green Grey</v>
      </c>
      <c r="C65" s="1" t="s">
        <v>62</v>
      </c>
      <c r="D65" s="8" t="s">
        <v>165</v>
      </c>
    </row>
    <row r="66" spans="1:5">
      <c r="A66" s="4" t="str">
        <f t="shared" si="0"/>
        <v>70.972</v>
      </c>
      <c r="B66" s="1" t="str">
        <f t="shared" si="1"/>
        <v>Light Green Blue</v>
      </c>
      <c r="C66" s="1" t="s">
        <v>64</v>
      </c>
      <c r="D66" s="8" t="s">
        <v>165</v>
      </c>
    </row>
    <row r="67" spans="1:5">
      <c r="A67" s="4" t="str">
        <f t="shared" ref="A67:A102" si="2">LEFT(C67,6)</f>
        <v>70.975</v>
      </c>
      <c r="B67" s="1" t="str">
        <f t="shared" ref="B67:B78" si="3">MID(C67,8,999)</f>
        <v>Military Green</v>
      </c>
      <c r="C67" s="1" t="s">
        <v>18</v>
      </c>
      <c r="D67" s="8" t="s">
        <v>165</v>
      </c>
    </row>
    <row r="68" spans="1:5">
      <c r="A68" s="4" t="str">
        <f t="shared" si="2"/>
        <v>70.976</v>
      </c>
      <c r="B68" s="1" t="str">
        <f t="shared" si="3"/>
        <v>Buff</v>
      </c>
      <c r="C68" s="1" t="s">
        <v>36</v>
      </c>
      <c r="D68" s="8" t="s">
        <v>165</v>
      </c>
    </row>
    <row r="69" spans="1:5">
      <c r="A69" s="4" t="str">
        <f t="shared" si="2"/>
        <v>70.977</v>
      </c>
      <c r="B69" s="1" t="str">
        <f t="shared" si="3"/>
        <v>Desert Yellow</v>
      </c>
      <c r="C69" s="1" t="s">
        <v>51</v>
      </c>
      <c r="D69" s="8" t="s">
        <v>165</v>
      </c>
    </row>
    <row r="70" spans="1:5">
      <c r="A70" s="4" t="str">
        <f t="shared" si="2"/>
        <v>70.979</v>
      </c>
      <c r="B70" s="1" t="str">
        <f t="shared" si="3"/>
        <v>Camouflage Dark Green</v>
      </c>
      <c r="C70" s="1" t="s">
        <v>14</v>
      </c>
      <c r="D70" s="8" t="s">
        <v>165</v>
      </c>
    </row>
    <row r="71" spans="1:5">
      <c r="A71" s="4" t="str">
        <f t="shared" si="2"/>
        <v>70.980</v>
      </c>
      <c r="B71" s="1" t="str">
        <f t="shared" si="3"/>
        <v>Black Green</v>
      </c>
      <c r="C71" s="1" t="s">
        <v>9</v>
      </c>
      <c r="D71" s="8" t="s">
        <v>165</v>
      </c>
    </row>
    <row r="72" spans="1:5">
      <c r="A72" s="4" t="str">
        <f t="shared" si="2"/>
        <v>70.981</v>
      </c>
      <c r="B72" s="1" t="str">
        <f t="shared" si="3"/>
        <v>Orange Brown</v>
      </c>
      <c r="C72" s="1" t="s">
        <v>58</v>
      </c>
      <c r="D72" s="8" t="s">
        <v>165</v>
      </c>
    </row>
    <row r="73" spans="1:5">
      <c r="A73" s="4" t="str">
        <f t="shared" si="2"/>
        <v>70.982</v>
      </c>
      <c r="B73" s="1" t="str">
        <f t="shared" si="3"/>
        <v>Cavalry Brown</v>
      </c>
      <c r="C73" s="1" t="s">
        <v>59</v>
      </c>
      <c r="D73" s="8" t="s">
        <v>165</v>
      </c>
    </row>
    <row r="74" spans="1:5">
      <c r="A74" s="4" t="str">
        <f t="shared" si="2"/>
        <v>70.983</v>
      </c>
      <c r="B74" s="1" t="str">
        <f t="shared" si="3"/>
        <v>Flat Earth</v>
      </c>
      <c r="C74" s="1" t="s">
        <v>54</v>
      </c>
      <c r="D74" s="8" t="s">
        <v>165</v>
      </c>
    </row>
    <row r="75" spans="1:5">
      <c r="A75" s="4" t="str">
        <f t="shared" si="2"/>
        <v>70.984</v>
      </c>
      <c r="B75" s="1" t="str">
        <f t="shared" si="3"/>
        <v>Flat Brown</v>
      </c>
      <c r="C75" s="1" t="s">
        <v>57</v>
      </c>
      <c r="D75" s="8" t="s">
        <v>165</v>
      </c>
    </row>
    <row r="76" spans="1:5">
      <c r="A76" s="4" t="str">
        <f t="shared" si="2"/>
        <v>70.985</v>
      </c>
      <c r="B76" s="1" t="str">
        <f t="shared" si="3"/>
        <v>Hull Red</v>
      </c>
      <c r="C76" s="1" t="s">
        <v>61</v>
      </c>
      <c r="D76" s="8" t="s">
        <v>165</v>
      </c>
    </row>
    <row r="77" spans="1:5">
      <c r="A77" s="4" t="str">
        <f t="shared" si="2"/>
        <v>70.988</v>
      </c>
      <c r="B77" s="1" t="str">
        <f t="shared" si="3"/>
        <v>Khaki</v>
      </c>
      <c r="C77" s="1" t="s">
        <v>29</v>
      </c>
      <c r="D77" s="8" t="s">
        <v>165</v>
      </c>
    </row>
    <row r="78" spans="1:5">
      <c r="A78" s="4" t="str">
        <f t="shared" si="2"/>
        <v>70.995</v>
      </c>
      <c r="B78" s="1" t="str">
        <f t="shared" si="3"/>
        <v>German Grey</v>
      </c>
      <c r="C78" s="1" t="s">
        <v>70</v>
      </c>
      <c r="D78" s="8" t="s">
        <v>165</v>
      </c>
    </row>
    <row r="79" spans="1:5">
      <c r="A79" s="4" t="str">
        <f>LEFT(C79,6)</f>
        <v>70.981</v>
      </c>
      <c r="B79" s="1" t="str">
        <f>MID(C79,8,999)</f>
        <v>Orange Brown (Model Color)</v>
      </c>
      <c r="C79" s="1" t="s">
        <v>269</v>
      </c>
      <c r="D79" s="8" t="s">
        <v>218</v>
      </c>
      <c r="E79" s="8"/>
    </row>
    <row r="80" spans="1:5">
      <c r="A80" s="4" t="str">
        <f>LEFT(C80,6)</f>
        <v>70.985</v>
      </c>
      <c r="B80" s="1" t="str">
        <f t="shared" ref="B80:B102" si="4">MID(C80,8,999)</f>
        <v>Hull Red (Model Color)</v>
      </c>
      <c r="C80" s="1" t="s">
        <v>270</v>
      </c>
      <c r="D80" s="8" t="s">
        <v>218</v>
      </c>
      <c r="E80" s="8"/>
    </row>
    <row r="81" spans="1:5">
      <c r="A81" s="4" t="str">
        <f t="shared" si="2"/>
        <v>71.129</v>
      </c>
      <c r="B81" s="1" t="str">
        <f t="shared" si="4"/>
        <v>Light Rust (Model Air)</v>
      </c>
      <c r="C81" s="1" t="s">
        <v>271</v>
      </c>
      <c r="D81" s="8" t="s">
        <v>218</v>
      </c>
      <c r="E81" s="8"/>
    </row>
    <row r="82" spans="1:5">
      <c r="A82" s="4" t="str">
        <f t="shared" si="2"/>
        <v>71.080</v>
      </c>
      <c r="B82" s="1" t="str">
        <f t="shared" si="4"/>
        <v>Rust (Model Air)</v>
      </c>
      <c r="C82" s="1" t="s">
        <v>273</v>
      </c>
      <c r="D82" s="8" t="s">
        <v>218</v>
      </c>
      <c r="E82" s="8"/>
    </row>
    <row r="83" spans="1:5">
      <c r="A83" s="4" t="str">
        <f t="shared" si="2"/>
        <v>71.042</v>
      </c>
      <c r="B83" s="1" t="str">
        <f t="shared" si="4"/>
        <v>Dark Brown RLM61 (Model Air)</v>
      </c>
      <c r="C83" s="1" t="s">
        <v>272</v>
      </c>
      <c r="D83" s="8" t="s">
        <v>218</v>
      </c>
    </row>
    <row r="84" spans="1:5">
      <c r="A84" s="4" t="str">
        <f t="shared" si="2"/>
        <v>74.506</v>
      </c>
      <c r="B84" s="1" t="str">
        <f t="shared" si="4"/>
        <v>Rust (Weathering Effects)</v>
      </c>
      <c r="C84" s="1" t="s">
        <v>274</v>
      </c>
      <c r="D84" s="8" t="s">
        <v>218</v>
      </c>
    </row>
    <row r="85" spans="1:5">
      <c r="A85" s="4" t="str">
        <f t="shared" si="2"/>
        <v>74.513</v>
      </c>
      <c r="B85" s="1" t="str">
        <f>MID(C85,8,999)</f>
        <v>Brown (Weathering Effects)</v>
      </c>
      <c r="C85" s="1" t="s">
        <v>275</v>
      </c>
      <c r="D85" s="8" t="s">
        <v>218</v>
      </c>
    </row>
    <row r="86" spans="1:5">
      <c r="A86" s="4" t="str">
        <f t="shared" si="2"/>
        <v>74.521</v>
      </c>
      <c r="B86" s="1" t="str">
        <f t="shared" si="4"/>
        <v xml:space="preserve"> Oiled Earth (Weathering Effects)</v>
      </c>
      <c r="C86" s="1" t="s">
        <v>276</v>
      </c>
      <c r="D86" s="8" t="s">
        <v>218</v>
      </c>
    </row>
    <row r="87" spans="1:5" ht="18">
      <c r="A87" s="4" t="str">
        <f t="shared" si="2"/>
        <v>70.801</v>
      </c>
      <c r="B87" s="1" t="str">
        <f t="shared" si="4"/>
        <v>Brass</v>
      </c>
      <c r="C87" s="7" t="s">
        <v>74</v>
      </c>
    </row>
    <row r="88" spans="1:5" ht="18">
      <c r="A88" s="4" t="str">
        <f t="shared" si="2"/>
        <v>70.805</v>
      </c>
      <c r="B88" s="1" t="str">
        <f t="shared" si="4"/>
        <v>German Orange</v>
      </c>
      <c r="C88" s="7" t="s">
        <v>277</v>
      </c>
    </row>
    <row r="89" spans="1:5" ht="18">
      <c r="A89" s="4" t="str">
        <f t="shared" si="2"/>
        <v>70.806</v>
      </c>
      <c r="B89" s="1" t="str">
        <f t="shared" si="4"/>
        <v>German Yellow</v>
      </c>
      <c r="C89" s="7" t="s">
        <v>279</v>
      </c>
    </row>
    <row r="90" spans="1:5" ht="18">
      <c r="A90" s="4" t="str">
        <f t="shared" si="2"/>
        <v>70.818</v>
      </c>
      <c r="B90" s="1" t="str">
        <f t="shared" si="4"/>
        <v>Red Leather</v>
      </c>
      <c r="C90" s="7" t="s">
        <v>278</v>
      </c>
    </row>
    <row r="91" spans="1:5" ht="18">
      <c r="A91" s="4" t="str">
        <f t="shared" si="2"/>
        <v>70.845</v>
      </c>
      <c r="B91" s="1" t="str">
        <f t="shared" si="4"/>
        <v>Sunny Skin Tone</v>
      </c>
      <c r="C91" s="7" t="s">
        <v>100</v>
      </c>
    </row>
    <row r="92" spans="1:5" ht="18">
      <c r="A92" s="4" t="str">
        <f t="shared" si="2"/>
        <v>70.861</v>
      </c>
      <c r="B92" s="1" t="str">
        <f t="shared" si="4"/>
        <v>Glossy Black</v>
      </c>
      <c r="C92" s="7" t="s">
        <v>280</v>
      </c>
    </row>
    <row r="93" spans="1:5" ht="18">
      <c r="A93" s="4" t="str">
        <f t="shared" si="2"/>
        <v>70.868</v>
      </c>
      <c r="B93" s="1" t="str">
        <f t="shared" si="4"/>
        <v>Dark Sea Green</v>
      </c>
      <c r="C93" s="7" t="s">
        <v>69</v>
      </c>
    </row>
    <row r="94" spans="1:5" ht="18">
      <c r="A94" s="4" t="str">
        <f t="shared" si="2"/>
        <v>70.871</v>
      </c>
      <c r="B94" s="1" t="str">
        <f t="shared" si="4"/>
        <v>-Leather Brown</v>
      </c>
      <c r="C94" s="7" t="s">
        <v>282</v>
      </c>
    </row>
    <row r="95" spans="1:5" ht="18">
      <c r="A95" s="4" t="str">
        <f t="shared" si="2"/>
        <v>70.912</v>
      </c>
      <c r="B95" s="1" t="str">
        <f t="shared" si="4"/>
        <v>Tan Yellow</v>
      </c>
      <c r="C95" s="7" t="s">
        <v>281</v>
      </c>
    </row>
    <row r="96" spans="1:5" ht="18">
      <c r="A96" s="4" t="str">
        <f t="shared" si="2"/>
        <v>70.920</v>
      </c>
      <c r="B96" s="1" t="str">
        <f t="shared" si="4"/>
        <v>German Uniform</v>
      </c>
      <c r="C96" s="7" t="s">
        <v>283</v>
      </c>
    </row>
    <row r="97" spans="1:3" ht="18">
      <c r="A97" s="4" t="str">
        <f t="shared" si="2"/>
        <v>70.946</v>
      </c>
      <c r="B97" s="1" t="str">
        <f t="shared" si="4"/>
        <v>- Dark Red</v>
      </c>
      <c r="C97" s="7" t="s">
        <v>122</v>
      </c>
    </row>
    <row r="98" spans="1:3" ht="18">
      <c r="A98" s="4" t="str">
        <f t="shared" si="2"/>
        <v>70.950</v>
      </c>
      <c r="B98" s="1" t="str">
        <f t="shared" si="4"/>
        <v>Black</v>
      </c>
      <c r="C98" s="7" t="s">
        <v>71</v>
      </c>
    </row>
    <row r="99" spans="1:3" ht="18">
      <c r="A99" s="4" t="str">
        <f t="shared" si="2"/>
        <v>70.951</v>
      </c>
      <c r="B99" s="1" t="str">
        <f t="shared" si="4"/>
        <v>- White</v>
      </c>
      <c r="C99" s="7" t="s">
        <v>124</v>
      </c>
    </row>
    <row r="100" spans="1:3" ht="18">
      <c r="A100" s="4" t="str">
        <f t="shared" si="2"/>
        <v>70.992</v>
      </c>
      <c r="B100" s="1" t="str">
        <f t="shared" si="4"/>
        <v>- Neutral Grey</v>
      </c>
      <c r="C100" s="7" t="s">
        <v>125</v>
      </c>
    </row>
    <row r="101" spans="1:3" ht="18">
      <c r="A101" s="4" t="str">
        <f t="shared" si="2"/>
        <v>70.995</v>
      </c>
      <c r="B101" s="1" t="str">
        <f t="shared" si="4"/>
        <v>- German Grey </v>
      </c>
      <c r="C101" s="7" t="s">
        <v>126</v>
      </c>
    </row>
    <row r="102" spans="1:3" ht="18">
      <c r="A102" s="4" t="str">
        <f t="shared" si="2"/>
        <v>70.997</v>
      </c>
      <c r="B102" s="1" t="str">
        <f t="shared" si="4"/>
        <v>- Silver</v>
      </c>
      <c r="C102" s="7" t="s">
        <v>127</v>
      </c>
    </row>
    <row r="103" spans="1:3" ht="18">
      <c r="A103" s="4"/>
      <c r="B103" s="1"/>
      <c r="C103" s="1"/>
    </row>
    <row r="104" spans="1:3" ht="18">
      <c r="A104" s="4"/>
      <c r="B104" s="1"/>
      <c r="C104" s="1"/>
    </row>
    <row r="105" spans="1:3" ht="18">
      <c r="A105" s="4"/>
      <c r="B105" s="1"/>
      <c r="C105" s="1"/>
    </row>
    <row r="106" spans="1:3" ht="18">
      <c r="A106" s="4"/>
      <c r="B106" s="1"/>
      <c r="C106" s="1"/>
    </row>
    <row r="107" spans="1:3" ht="18">
      <c r="A107" s="4"/>
      <c r="B107" s="1"/>
      <c r="C107" s="1"/>
    </row>
    <row r="108" spans="1:3" ht="18">
      <c r="A108" s="4"/>
      <c r="B108" s="1"/>
      <c r="C108" s="1"/>
    </row>
    <row r="109" spans="1:3" ht="18">
      <c r="A109" s="4"/>
      <c r="B109" s="1"/>
      <c r="C109" s="1"/>
    </row>
    <row r="110" spans="1:3" ht="18">
      <c r="A110" s="4"/>
      <c r="B110" s="1"/>
      <c r="C110" s="1"/>
    </row>
    <row r="111" spans="1:3" ht="18">
      <c r="A111" s="4"/>
      <c r="B111" s="1"/>
      <c r="C111" s="1"/>
    </row>
    <row r="112" spans="1:3" ht="18">
      <c r="A112" s="4"/>
      <c r="B112" s="1"/>
      <c r="C112" s="1"/>
    </row>
    <row r="113" spans="1:3" ht="18">
      <c r="A113" s="4"/>
      <c r="B113" s="1"/>
      <c r="C113" s="1"/>
    </row>
    <row r="114" spans="1:3" ht="18">
      <c r="A114" s="4"/>
      <c r="B114" s="1"/>
      <c r="C114" s="1"/>
    </row>
    <row r="115" spans="1:3" ht="18">
      <c r="A115" s="4"/>
      <c r="B115" s="1"/>
      <c r="C115" s="1"/>
    </row>
    <row r="116" spans="1:3" ht="18">
      <c r="A116" s="4"/>
      <c r="B116" s="1"/>
      <c r="C116" s="1"/>
    </row>
    <row r="117" spans="1:3" ht="18">
      <c r="A117" s="4"/>
      <c r="B117" s="1"/>
      <c r="C117" s="1"/>
    </row>
    <row r="118" spans="1:3" ht="18">
      <c r="A118" s="4"/>
      <c r="B118" s="1"/>
      <c r="C118" s="1"/>
    </row>
    <row r="119" spans="1:3" ht="18">
      <c r="A119" s="4"/>
      <c r="B119" s="1"/>
      <c r="C119" s="1"/>
    </row>
    <row r="120" spans="1:3" ht="18">
      <c r="A120" s="4"/>
      <c r="B120" s="1"/>
      <c r="C120" s="1"/>
    </row>
    <row r="121" spans="1:3" ht="18">
      <c r="A121" s="4"/>
      <c r="B121" s="1"/>
      <c r="C121" s="1"/>
    </row>
    <row r="122" spans="1:3" ht="18">
      <c r="A122" s="4"/>
      <c r="B122" s="1"/>
      <c r="C122" s="1"/>
    </row>
    <row r="123" spans="1:3" ht="18">
      <c r="A123" s="4"/>
      <c r="B123" s="1"/>
      <c r="C123" s="1"/>
    </row>
    <row r="124" spans="1:3" ht="18">
      <c r="A124" s="4"/>
      <c r="B124" s="1"/>
      <c r="C124" s="1"/>
    </row>
    <row r="125" spans="1:3" ht="18">
      <c r="A125" s="4"/>
      <c r="B125" s="1"/>
      <c r="C125" s="1"/>
    </row>
    <row r="126" spans="1:3" ht="18">
      <c r="A126" s="4"/>
      <c r="B126" s="1"/>
      <c r="C126" s="1"/>
    </row>
    <row r="127" spans="1:3" ht="18">
      <c r="A127" s="4"/>
      <c r="B127" s="1"/>
      <c r="C127" s="1"/>
    </row>
    <row r="128" spans="1:3" ht="18">
      <c r="A128" s="4"/>
      <c r="B128" s="1"/>
      <c r="C128" s="1"/>
    </row>
    <row r="129" spans="1:3" ht="18">
      <c r="A129" s="4"/>
      <c r="B129" s="1"/>
      <c r="C129" s="1"/>
    </row>
    <row r="130" spans="1:3" ht="18">
      <c r="A130" s="4"/>
      <c r="B130" s="1"/>
      <c r="C130" s="1"/>
    </row>
    <row r="131" spans="1:3" ht="18">
      <c r="A131" s="4"/>
      <c r="B131" s="1"/>
      <c r="C131" s="1"/>
    </row>
    <row r="132" spans="1:3" ht="18">
      <c r="A132" s="4"/>
      <c r="B132" s="1"/>
      <c r="C132" s="1"/>
    </row>
    <row r="133" spans="1:3" ht="18">
      <c r="A133" s="4"/>
      <c r="B133" s="1"/>
      <c r="C133" s="1"/>
    </row>
    <row r="134" spans="1:3" ht="18">
      <c r="A134" s="4"/>
      <c r="B134" s="1"/>
      <c r="C134" s="1"/>
    </row>
    <row r="135" spans="1:3" ht="18">
      <c r="A135" s="4"/>
      <c r="B135" s="1"/>
      <c r="C135" s="1"/>
    </row>
    <row r="136" spans="1:3" ht="18">
      <c r="A136" s="4"/>
      <c r="B136" s="1"/>
      <c r="C136" s="1"/>
    </row>
    <row r="137" spans="1:3" ht="18">
      <c r="A137" s="4"/>
      <c r="B137" s="1"/>
      <c r="C137" s="1"/>
    </row>
    <row r="138" spans="1:3" ht="18">
      <c r="A138" s="4"/>
      <c r="B138" s="1"/>
      <c r="C138" s="1"/>
    </row>
    <row r="139" spans="1:3" ht="18">
      <c r="A139" s="4"/>
      <c r="B139" s="1"/>
      <c r="C139" s="1"/>
    </row>
    <row r="140" spans="1:3" ht="18">
      <c r="A140" s="4"/>
      <c r="B140" s="1"/>
      <c r="C140" s="1"/>
    </row>
    <row r="141" spans="1:3" ht="18">
      <c r="A141" s="4"/>
      <c r="B141" s="1"/>
      <c r="C141" s="1"/>
    </row>
    <row r="142" spans="1:3" ht="18">
      <c r="A142" s="4"/>
      <c r="B142" s="1"/>
      <c r="C142" s="1"/>
    </row>
    <row r="143" spans="1:3" ht="18">
      <c r="A143" s="4"/>
      <c r="B143" s="1"/>
      <c r="C143" s="1"/>
    </row>
    <row r="144" spans="1:3" ht="18">
      <c r="A144" s="4"/>
      <c r="B144" s="1"/>
      <c r="C144" s="1"/>
    </row>
    <row r="145" spans="1:3" ht="18">
      <c r="A145" s="4"/>
      <c r="B145" s="1"/>
      <c r="C145" s="1"/>
    </row>
    <row r="146" spans="1:3" ht="18">
      <c r="A146" s="4"/>
      <c r="B146" s="1"/>
      <c r="C146" s="1"/>
    </row>
    <row r="147" spans="1:3" ht="18">
      <c r="A147" s="4"/>
      <c r="B147" s="1"/>
      <c r="C147" s="1"/>
    </row>
    <row r="148" spans="1:3" ht="18">
      <c r="A148" s="4"/>
      <c r="B148" s="1"/>
      <c r="C148" s="1"/>
    </row>
    <row r="149" spans="1:3">
      <c r="B149" s="1"/>
      <c r="C149" s="1"/>
    </row>
  </sheetData>
  <conditionalFormatting sqref="A1:A102">
    <cfRule type="duplicateValues" dxfId="8" priority="406"/>
  </conditionalFormatting>
  <conditionalFormatting sqref="A103:A1048576">
    <cfRule type="duplicateValues" dxfId="7" priority="17"/>
  </conditionalFormatting>
  <conditionalFormatting sqref="A1:D2 A3:C67 B68:C78 A68:A102">
    <cfRule type="duplicateValues" dxfId="6" priority="407"/>
  </conditionalFormatting>
  <conditionalFormatting sqref="A150:XFD1048576 D87:XFD149 A103:B149 E1:XFD7 E38:XFD78 F8:XFD37 E85:XFD86">
    <cfRule type="duplicateValues" dxfId="5" priority="18"/>
  </conditionalFormatting>
  <conditionalFormatting sqref="C1:C86">
    <cfRule type="duplicateValues" dxfId="4" priority="401"/>
  </conditionalFormatting>
  <conditionalFormatting sqref="C79:C86">
    <cfRule type="duplicateValues" dxfId="3" priority="1"/>
  </conditionalFormatting>
  <conditionalFormatting sqref="C150:C1048576">
    <cfRule type="duplicateValues" dxfId="2" priority="19"/>
  </conditionalFormatting>
  <conditionalFormatting sqref="F79:XFD84 B79:B102">
    <cfRule type="duplicateValues" dxfId="1" priority="10"/>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B7305-030B-4748-A8DB-103E33CDB638}">
  <dimension ref="A1:B101"/>
  <sheetViews>
    <sheetView workbookViewId="0">
      <selection activeCell="A97" sqref="A97:B97"/>
    </sheetView>
  </sheetViews>
  <sheetFormatPr baseColWidth="10" defaultRowHeight="16"/>
  <cols>
    <col min="1" max="1" width="10.33203125" bestFit="1" customWidth="1"/>
    <col min="2" max="2" width="80.6640625" bestFit="1" customWidth="1"/>
  </cols>
  <sheetData>
    <row r="1" spans="1:2">
      <c r="A1" t="s">
        <v>351</v>
      </c>
      <c r="B1" t="s">
        <v>352</v>
      </c>
    </row>
    <row r="2" spans="1:2">
      <c r="A2">
        <v>70951</v>
      </c>
      <c r="B2" s="15" t="s">
        <v>328</v>
      </c>
    </row>
    <row r="3" spans="1:2">
      <c r="A3">
        <v>70764</v>
      </c>
      <c r="B3" s="15" t="s">
        <v>290</v>
      </c>
    </row>
    <row r="4" spans="1:2">
      <c r="A4">
        <v>70820</v>
      </c>
      <c r="B4" s="15" t="s">
        <v>602</v>
      </c>
    </row>
    <row r="5" spans="1:2">
      <c r="A5">
        <v>70879</v>
      </c>
      <c r="B5" s="15" t="s">
        <v>309</v>
      </c>
    </row>
    <row r="6" spans="1:2">
      <c r="A6">
        <v>70766</v>
      </c>
      <c r="B6" s="15" t="s">
        <v>292</v>
      </c>
    </row>
    <row r="7" spans="1:2">
      <c r="A7">
        <v>70921</v>
      </c>
      <c r="B7" s="15" t="s">
        <v>320</v>
      </c>
    </row>
    <row r="8" spans="1:2">
      <c r="A8">
        <v>70915</v>
      </c>
      <c r="B8" s="15" t="s">
        <v>523</v>
      </c>
    </row>
    <row r="9" spans="1:2">
      <c r="A9">
        <v>70889</v>
      </c>
      <c r="B9" s="15" t="s">
        <v>471</v>
      </c>
    </row>
    <row r="10" spans="1:2">
      <c r="A10">
        <v>70953</v>
      </c>
      <c r="B10" s="15" t="s">
        <v>329</v>
      </c>
    </row>
    <row r="11" spans="1:2">
      <c r="A11">
        <v>70917</v>
      </c>
      <c r="B11" s="15" t="s">
        <v>414</v>
      </c>
    </row>
    <row r="12" spans="1:2">
      <c r="A12">
        <v>70956</v>
      </c>
      <c r="B12" s="15" t="s">
        <v>367</v>
      </c>
    </row>
    <row r="13" spans="1:2">
      <c r="A13">
        <v>70914</v>
      </c>
      <c r="B13" s="15" t="s">
        <v>319</v>
      </c>
    </row>
    <row r="14" spans="1:2">
      <c r="A14">
        <v>70908</v>
      </c>
      <c r="B14" s="15" t="s">
        <v>507</v>
      </c>
    </row>
    <row r="15" spans="1:2">
      <c r="A15">
        <v>70847</v>
      </c>
      <c r="B15" s="15" t="s">
        <v>301</v>
      </c>
    </row>
    <row r="16" spans="1:2">
      <c r="A16">
        <v>70947</v>
      </c>
      <c r="B16" s="15" t="s">
        <v>326</v>
      </c>
    </row>
    <row r="17" spans="1:2">
      <c r="A17">
        <v>70767</v>
      </c>
      <c r="B17" s="15" t="s">
        <v>293</v>
      </c>
    </row>
    <row r="18" spans="1:2">
      <c r="A18">
        <v>70957</v>
      </c>
      <c r="B18" s="15" t="s">
        <v>370</v>
      </c>
    </row>
    <row r="19" spans="1:2">
      <c r="A19">
        <v>70761</v>
      </c>
      <c r="B19" s="15" t="s">
        <v>287</v>
      </c>
    </row>
    <row r="20" spans="1:2">
      <c r="A20">
        <v>70851</v>
      </c>
      <c r="B20" s="15" t="s">
        <v>603</v>
      </c>
    </row>
    <row r="21" spans="1:2">
      <c r="A21">
        <v>70859</v>
      </c>
      <c r="B21" s="15" t="s">
        <v>604</v>
      </c>
    </row>
    <row r="22" spans="1:2">
      <c r="A22">
        <v>70765</v>
      </c>
      <c r="B22" s="15" t="s">
        <v>291</v>
      </c>
    </row>
    <row r="23" spans="1:2">
      <c r="A23">
        <v>70965</v>
      </c>
      <c r="B23" s="15" t="s">
        <v>331</v>
      </c>
    </row>
    <row r="24" spans="1:2">
      <c r="A24">
        <v>70874</v>
      </c>
      <c r="B24" s="15" t="s">
        <v>307</v>
      </c>
    </row>
    <row r="25" spans="1:2">
      <c r="A25">
        <v>70899</v>
      </c>
      <c r="B25" s="15" t="s">
        <v>490</v>
      </c>
    </row>
    <row r="26" spans="1:2">
      <c r="A26">
        <v>70873</v>
      </c>
      <c r="B26" s="15" t="s">
        <v>306</v>
      </c>
    </row>
    <row r="27" spans="1:2">
      <c r="A27">
        <v>70901</v>
      </c>
      <c r="B27" s="15" t="s">
        <v>494</v>
      </c>
    </row>
    <row r="28" spans="1:2">
      <c r="A28">
        <v>70768</v>
      </c>
      <c r="B28" s="15" t="s">
        <v>605</v>
      </c>
    </row>
    <row r="29" spans="1:2">
      <c r="A29">
        <v>70822</v>
      </c>
      <c r="B29" s="15" t="s">
        <v>606</v>
      </c>
    </row>
    <row r="30" spans="1:2">
      <c r="A30">
        <v>70925</v>
      </c>
      <c r="B30" s="15" t="s">
        <v>607</v>
      </c>
    </row>
    <row r="31" spans="1:2">
      <c r="A31">
        <v>70871</v>
      </c>
      <c r="B31" s="15" t="s">
        <v>305</v>
      </c>
    </row>
    <row r="32" spans="1:2">
      <c r="A32">
        <v>70752</v>
      </c>
      <c r="B32" s="15" t="s">
        <v>608</v>
      </c>
    </row>
    <row r="33" spans="1:2">
      <c r="A33">
        <v>70822</v>
      </c>
      <c r="B33" s="15" t="s">
        <v>609</v>
      </c>
    </row>
    <row r="34" spans="1:2">
      <c r="A34">
        <v>70961</v>
      </c>
      <c r="B34" s="15" t="s">
        <v>610</v>
      </c>
    </row>
    <row r="35" spans="1:2">
      <c r="A35">
        <v>70977</v>
      </c>
      <c r="B35" s="15" t="s">
        <v>337</v>
      </c>
    </row>
    <row r="36" spans="1:2">
      <c r="A36">
        <v>70898</v>
      </c>
      <c r="B36" s="15" t="s">
        <v>487</v>
      </c>
    </row>
    <row r="37" spans="1:2">
      <c r="A37">
        <v>70769</v>
      </c>
      <c r="B37" s="15" t="s">
        <v>294</v>
      </c>
    </row>
    <row r="38" spans="1:2">
      <c r="A38">
        <v>70980</v>
      </c>
      <c r="B38" s="15" t="s">
        <v>338</v>
      </c>
    </row>
    <row r="39" spans="1:2">
      <c r="A39">
        <v>70875</v>
      </c>
      <c r="B39" s="15" t="s">
        <v>308</v>
      </c>
    </row>
    <row r="40" spans="1:2">
      <c r="A40">
        <v>70895</v>
      </c>
      <c r="B40" s="15" t="s">
        <v>315</v>
      </c>
    </row>
    <row r="41" spans="1:2">
      <c r="A41">
        <v>70940</v>
      </c>
      <c r="B41" s="15" t="s">
        <v>324</v>
      </c>
    </row>
    <row r="42" spans="1:2">
      <c r="A42">
        <v>70920</v>
      </c>
      <c r="B42" s="15" t="s">
        <v>533</v>
      </c>
    </row>
    <row r="43" spans="1:2">
      <c r="A43">
        <v>70913</v>
      </c>
      <c r="B43" s="15" t="s">
        <v>349</v>
      </c>
    </row>
    <row r="44" spans="1:2">
      <c r="A44">
        <v>70897</v>
      </c>
      <c r="B44" s="15" t="s">
        <v>317</v>
      </c>
    </row>
    <row r="45" spans="1:2">
      <c r="A45">
        <v>70856</v>
      </c>
      <c r="B45" s="15" t="s">
        <v>611</v>
      </c>
    </row>
    <row r="46" spans="1:2">
      <c r="A46">
        <v>70979</v>
      </c>
      <c r="B46" s="15" t="s">
        <v>612</v>
      </c>
    </row>
    <row r="47" spans="1:2">
      <c r="A47">
        <v>70818</v>
      </c>
      <c r="B47" s="15" t="s">
        <v>613</v>
      </c>
    </row>
    <row r="48" spans="1:2">
      <c r="A48">
        <v>70967</v>
      </c>
      <c r="B48" s="15" t="s">
        <v>332</v>
      </c>
    </row>
    <row r="49" spans="1:2">
      <c r="A49">
        <v>70982</v>
      </c>
      <c r="B49" s="15" t="s">
        <v>340</v>
      </c>
    </row>
    <row r="50" spans="1:2">
      <c r="A50">
        <v>70850</v>
      </c>
      <c r="B50" s="15" t="s">
        <v>614</v>
      </c>
    </row>
    <row r="51" spans="1:2">
      <c r="A51">
        <v>70814</v>
      </c>
      <c r="B51" s="15" t="s">
        <v>296</v>
      </c>
    </row>
    <row r="52" spans="1:2">
      <c r="A52">
        <v>70823</v>
      </c>
      <c r="B52" s="15" t="s">
        <v>299</v>
      </c>
    </row>
    <row r="53" spans="1:2">
      <c r="A53">
        <v>70985</v>
      </c>
      <c r="B53" s="15" t="s">
        <v>343</v>
      </c>
    </row>
    <row r="54" spans="1:2">
      <c r="A54">
        <v>70975</v>
      </c>
      <c r="B54" s="15" t="s">
        <v>335</v>
      </c>
    </row>
    <row r="55" spans="1:2">
      <c r="A55">
        <v>70883</v>
      </c>
      <c r="B55" s="15" t="s">
        <v>462</v>
      </c>
    </row>
    <row r="56" spans="1:2">
      <c r="A56">
        <v>70885</v>
      </c>
      <c r="B56" s="15" t="s">
        <v>465</v>
      </c>
    </row>
    <row r="57" spans="1:2">
      <c r="A57">
        <v>70971</v>
      </c>
      <c r="B57" s="15" t="s">
        <v>333</v>
      </c>
    </row>
    <row r="58" spans="1:2">
      <c r="A58">
        <v>70886</v>
      </c>
      <c r="B58" s="15" t="s">
        <v>311</v>
      </c>
    </row>
    <row r="59" spans="1:2">
      <c r="A59">
        <v>70906</v>
      </c>
      <c r="B59" s="15" t="s">
        <v>318</v>
      </c>
    </row>
    <row r="60" spans="1:2">
      <c r="A60">
        <v>70830</v>
      </c>
      <c r="B60" s="15" t="s">
        <v>615</v>
      </c>
    </row>
    <row r="61" spans="1:2">
      <c r="A61">
        <v>70972</v>
      </c>
      <c r="B61" s="15" t="s">
        <v>334</v>
      </c>
    </row>
    <row r="62" spans="1:2">
      <c r="A62">
        <v>70759</v>
      </c>
      <c r="B62" s="15" t="s">
        <v>286</v>
      </c>
    </row>
    <row r="63" spans="1:2">
      <c r="A63">
        <v>70772</v>
      </c>
      <c r="B63" s="15" t="s">
        <v>295</v>
      </c>
    </row>
    <row r="64" spans="1:2">
      <c r="A64">
        <v>70878</v>
      </c>
      <c r="B64" s="15" t="s">
        <v>616</v>
      </c>
    </row>
    <row r="65" spans="1:2">
      <c r="A65">
        <v>70896</v>
      </c>
      <c r="B65" s="15" t="s">
        <v>316</v>
      </c>
    </row>
    <row r="66" spans="1:2">
      <c r="A66">
        <v>70816</v>
      </c>
      <c r="B66" s="15" t="s">
        <v>297</v>
      </c>
    </row>
    <row r="67" spans="1:2">
      <c r="A67">
        <v>70760</v>
      </c>
      <c r="B67" s="15" t="s">
        <v>617</v>
      </c>
    </row>
    <row r="68" spans="1:2">
      <c r="A68">
        <v>70994</v>
      </c>
      <c r="B68" s="15" t="s">
        <v>447</v>
      </c>
    </row>
    <row r="69" spans="1:2">
      <c r="A69">
        <v>70893</v>
      </c>
      <c r="B69" s="15" t="s">
        <v>314</v>
      </c>
    </row>
    <row r="70" spans="1:2">
      <c r="A70">
        <v>70989</v>
      </c>
      <c r="B70" s="15" t="s">
        <v>438</v>
      </c>
    </row>
    <row r="71" spans="1:2">
      <c r="A71">
        <v>70890</v>
      </c>
      <c r="B71" s="15" t="s">
        <v>313</v>
      </c>
    </row>
    <row r="72" spans="1:2">
      <c r="A72">
        <v>70990</v>
      </c>
      <c r="B72" s="15" t="s">
        <v>440</v>
      </c>
    </row>
    <row r="73" spans="1:2">
      <c r="A73">
        <v>70888</v>
      </c>
      <c r="B73" s="15" t="s">
        <v>469</v>
      </c>
    </row>
    <row r="74" spans="1:2">
      <c r="A74">
        <v>70905</v>
      </c>
      <c r="B74" s="15" t="s">
        <v>501</v>
      </c>
    </row>
    <row r="75" spans="1:2">
      <c r="A75">
        <v>70894</v>
      </c>
      <c r="B75" s="15" t="s">
        <v>618</v>
      </c>
    </row>
    <row r="76" spans="1:2">
      <c r="A76">
        <v>70867</v>
      </c>
      <c r="B76" s="15" t="s">
        <v>303</v>
      </c>
    </row>
    <row r="77" spans="1:2">
      <c r="A77">
        <v>70987</v>
      </c>
      <c r="B77" s="15" t="s">
        <v>435</v>
      </c>
    </row>
    <row r="78" spans="1:2">
      <c r="A78">
        <v>70870</v>
      </c>
      <c r="B78" s="15" t="s">
        <v>619</v>
      </c>
    </row>
    <row r="79" spans="1:2">
      <c r="A79">
        <v>70821</v>
      </c>
      <c r="B79" s="15" t="s">
        <v>298</v>
      </c>
    </row>
    <row r="80" spans="1:2">
      <c r="A80">
        <v>70773</v>
      </c>
      <c r="B80" s="15" t="s">
        <v>620</v>
      </c>
    </row>
    <row r="81" spans="1:2">
      <c r="A81">
        <v>70867</v>
      </c>
      <c r="B81" s="15" t="s">
        <v>621</v>
      </c>
    </row>
    <row r="82" spans="1:2">
      <c r="A82">
        <v>70988</v>
      </c>
      <c r="B82" s="15" t="s">
        <v>344</v>
      </c>
    </row>
    <row r="83" spans="1:2">
      <c r="A83">
        <v>70866</v>
      </c>
      <c r="B83" s="15" t="s">
        <v>302</v>
      </c>
    </row>
    <row r="84" spans="1:2">
      <c r="A84">
        <v>70762</v>
      </c>
      <c r="B84" s="15" t="s">
        <v>288</v>
      </c>
    </row>
    <row r="85" spans="1:2">
      <c r="A85">
        <v>70869</v>
      </c>
      <c r="B85" s="15" t="s">
        <v>622</v>
      </c>
    </row>
    <row r="86" spans="1:2">
      <c r="A86">
        <v>70763</v>
      </c>
      <c r="B86" s="15" t="s">
        <v>289</v>
      </c>
    </row>
    <row r="87" spans="1:2">
      <c r="A87">
        <v>70868</v>
      </c>
      <c r="B87" s="15" t="s">
        <v>304</v>
      </c>
    </row>
    <row r="88" spans="1:2">
      <c r="A88">
        <v>70941</v>
      </c>
      <c r="B88" s="15" t="s">
        <v>325</v>
      </c>
    </row>
    <row r="89" spans="1:2">
      <c r="A89">
        <v>70995</v>
      </c>
      <c r="B89" s="15" t="s">
        <v>345</v>
      </c>
    </row>
    <row r="90" spans="1:2">
      <c r="A90">
        <v>70806</v>
      </c>
      <c r="B90" s="15" t="s">
        <v>623</v>
      </c>
    </row>
    <row r="91" spans="1:2">
      <c r="A91">
        <v>70950</v>
      </c>
      <c r="B91" s="15" t="s">
        <v>327</v>
      </c>
    </row>
    <row r="92" spans="1:2">
      <c r="A92">
        <v>70881</v>
      </c>
      <c r="B92" s="15" t="s">
        <v>310</v>
      </c>
    </row>
    <row r="93" spans="1:2">
      <c r="A93">
        <v>70861</v>
      </c>
      <c r="B93" s="15" t="s">
        <v>624</v>
      </c>
    </row>
    <row r="94" spans="1:2">
      <c r="A94">
        <v>70887</v>
      </c>
      <c r="B94" s="15" t="s">
        <v>312</v>
      </c>
    </row>
    <row r="95" spans="1:2">
      <c r="A95">
        <v>70997</v>
      </c>
      <c r="B95" s="15" t="s">
        <v>346</v>
      </c>
    </row>
    <row r="96" spans="1:2">
      <c r="A96">
        <v>70976</v>
      </c>
      <c r="B96" s="15" t="s">
        <v>336</v>
      </c>
    </row>
    <row r="97" spans="1:2">
      <c r="A97">
        <v>70978</v>
      </c>
      <c r="B97" s="15" t="s">
        <v>625</v>
      </c>
    </row>
    <row r="98" spans="1:2">
      <c r="A98">
        <v>70400</v>
      </c>
      <c r="B98" s="15" t="s">
        <v>626</v>
      </c>
    </row>
    <row r="99" spans="1:2">
      <c r="A99">
        <v>70510</v>
      </c>
      <c r="B99" s="15" t="s">
        <v>627</v>
      </c>
    </row>
    <row r="100" spans="1:2">
      <c r="A100">
        <v>70510</v>
      </c>
      <c r="B100" s="15" t="s">
        <v>628</v>
      </c>
    </row>
    <row r="101" spans="1:2">
      <c r="A101">
        <v>70510</v>
      </c>
      <c r="B101" s="15" t="s">
        <v>629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4186D-841E-F743-A888-951FC7E2BF68}">
  <dimension ref="B2:G65"/>
  <sheetViews>
    <sheetView tabSelected="1" zoomScale="75" workbookViewId="0">
      <selection activeCell="D28" sqref="D28"/>
    </sheetView>
  </sheetViews>
  <sheetFormatPr baseColWidth="10" defaultRowHeight="16"/>
  <cols>
    <col min="1" max="1" width="86.5" bestFit="1" customWidth="1"/>
    <col min="2" max="2" width="8.5" bestFit="1" customWidth="1"/>
    <col min="3" max="3" width="7.6640625" bestFit="1" customWidth="1"/>
    <col min="4" max="4" width="3.6640625" bestFit="1" customWidth="1"/>
    <col min="5" max="5" width="5.6640625" bestFit="1" customWidth="1"/>
    <col min="6" max="6" width="7.5" bestFit="1" customWidth="1"/>
    <col min="7" max="7" width="7.6640625" bestFit="1" customWidth="1"/>
    <col min="8" max="8" width="3.5" bestFit="1" customWidth="1"/>
    <col min="9" max="9" width="4.1640625" bestFit="1" customWidth="1"/>
    <col min="10" max="10" width="255.83203125" bestFit="1" customWidth="1"/>
  </cols>
  <sheetData>
    <row r="2" spans="2:7">
      <c r="B2" s="13"/>
      <c r="C2" s="13"/>
      <c r="F2" s="13"/>
      <c r="G2" s="13"/>
    </row>
    <row r="7" spans="2:7">
      <c r="B7" s="13"/>
      <c r="C7" s="13"/>
      <c r="F7" s="13"/>
      <c r="G7" s="13"/>
    </row>
    <row r="36" ht="35" customHeight="1"/>
    <row r="53" spans="2:6">
      <c r="B53" s="13"/>
    </row>
    <row r="59" spans="2:6">
      <c r="B59" s="13"/>
      <c r="F59" s="13"/>
    </row>
    <row r="65" spans="2:2">
      <c r="B65"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1FB7EC-F1A3-3A47-8DCE-590E4CE70D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7</vt:i4>
      </vt:variant>
    </vt:vector>
  </HeadingPairs>
  <TitlesOfParts>
    <vt:vector size="7" baseType="lpstr">
      <vt:lpstr>check per set</vt:lpstr>
      <vt:lpstr>check van alles</vt:lpstr>
      <vt:lpstr>dump</vt:lpstr>
      <vt:lpstr>alles zonder delete</vt:lpstr>
      <vt:lpstr>testen</vt:lpstr>
      <vt:lpstr>vallejo_model_color_latest</vt:lpstr>
      <vt:lpstr>Blad3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 Harm</dc:creator>
  <cp:lastModifiedBy>frank Harm</cp:lastModifiedBy>
  <dcterms:created xsi:type="dcterms:W3CDTF">2025-12-23T09:22:10Z</dcterms:created>
  <dcterms:modified xsi:type="dcterms:W3CDTF">2026-02-01T19:16:16Z</dcterms:modified>
</cp:coreProperties>
</file>